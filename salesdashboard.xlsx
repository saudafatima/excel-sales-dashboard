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7190" tabRatio="614" activeTab="2"/>
  </bookViews>
  <sheets>
    <sheet name="salesdata" sheetId="1" r:id="rId1"/>
    <sheet name="dashboard" sheetId="2" r:id="rId2"/>
    <sheet name="pivot" sheetId="4" r:id="rId3"/>
  </sheets>
  <definedNames>
    <definedName name="Slicer_Category">#N/A</definedName>
    <definedName name="Slicer_month">#N/A</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2" l="1"/>
  <c r="N5" i="2" l="1"/>
  <c r="K5" i="2"/>
  <c r="H5" i="2"/>
  <c r="E5" i="2"/>
  <c r="S4" i="4" l="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alcChain>
</file>

<file path=xl/sharedStrings.xml><?xml version="1.0" encoding="utf-8"?>
<sst xmlns="http://schemas.openxmlformats.org/spreadsheetml/2006/main" count="387" uniqueCount="187">
  <si>
    <t>Order ID</t>
  </si>
  <si>
    <t>Order Date</t>
  </si>
  <si>
    <t>Customer</t>
  </si>
  <si>
    <t>Region</t>
  </si>
  <si>
    <t>State</t>
  </si>
  <si>
    <t>Category</t>
  </si>
  <si>
    <t>Sub Category</t>
  </si>
  <si>
    <t>Product</t>
  </si>
  <si>
    <t>Sales</t>
  </si>
  <si>
    <t>Profit</t>
  </si>
  <si>
    <t>Quantity</t>
  </si>
  <si>
    <t>Karan</t>
  </si>
  <si>
    <t>North</t>
  </si>
  <si>
    <t>Haryana</t>
  </si>
  <si>
    <t>Technology</t>
  </si>
  <si>
    <t>Mouse</t>
  </si>
  <si>
    <t>Logitech Mouse</t>
  </si>
  <si>
    <t>Meera</t>
  </si>
  <si>
    <t>South</t>
  </si>
  <si>
    <t>Karnataka</t>
  </si>
  <si>
    <t>Furniture</t>
  </si>
  <si>
    <t>Chair</t>
  </si>
  <si>
    <t>Plastic Chair</t>
  </si>
  <si>
    <t>Vikram</t>
  </si>
  <si>
    <t>West</t>
  </si>
  <si>
    <t>Maharashtra</t>
  </si>
  <si>
    <t>Office Supplies</t>
  </si>
  <si>
    <t>File</t>
  </si>
  <si>
    <t>Office File</t>
  </si>
  <si>
    <t>Sneha</t>
  </si>
  <si>
    <t>East</t>
  </si>
  <si>
    <t>Assam</t>
  </si>
  <si>
    <t>Tablet</t>
  </si>
  <si>
    <t>Lenovo Tablet</t>
  </si>
  <si>
    <t>Rohan</t>
  </si>
  <si>
    <t>Kerala</t>
  </si>
  <si>
    <t>Bed</t>
  </si>
  <si>
    <t>Queen Bed</t>
  </si>
  <si>
    <t>Anjali</t>
  </si>
  <si>
    <t>Delhi</t>
  </si>
  <si>
    <t>Marker</t>
  </si>
  <si>
    <t>Whiteboard Marker</t>
  </si>
  <si>
    <t>Imran</t>
  </si>
  <si>
    <t>Gujarat</t>
  </si>
  <si>
    <t>Keyboard</t>
  </si>
  <si>
    <t>Mechanical Keyboard</t>
  </si>
  <si>
    <t>Pooja</t>
  </si>
  <si>
    <t>Bihar</t>
  </si>
  <si>
    <t>Table</t>
  </si>
  <si>
    <t>Dining Table</t>
  </si>
  <si>
    <t>Aman</t>
  </si>
  <si>
    <t>Tamil Nadu</t>
  </si>
  <si>
    <t>Printer</t>
  </si>
  <si>
    <t>HP Printer</t>
  </si>
  <si>
    <t>Kavya</t>
  </si>
  <si>
    <t>Uttar Pradesh</t>
  </si>
  <si>
    <t>Stapler</t>
  </si>
  <si>
    <t>Nikhil</t>
  </si>
  <si>
    <t>Rajasthan</t>
  </si>
  <si>
    <t>Shelf</t>
  </si>
  <si>
    <t>Wooden Shelf</t>
  </si>
  <si>
    <t>Zara</t>
  </si>
  <si>
    <t>Telangana</t>
  </si>
  <si>
    <t>Smartwatch</t>
  </si>
  <si>
    <t>Noise Watch</t>
  </si>
  <si>
    <t>Rohit</t>
  </si>
  <si>
    <t>Jharkhand</t>
  </si>
  <si>
    <t>Calculator</t>
  </si>
  <si>
    <t>Casio Calculator</t>
  </si>
  <si>
    <t>Simran</t>
  </si>
  <si>
    <t>Chandigarh</t>
  </si>
  <si>
    <t>Cabinet</t>
  </si>
  <si>
    <t>Storage Cabinet</t>
  </si>
  <si>
    <t>Yusuf</t>
  </si>
  <si>
    <t>Goa</t>
  </si>
  <si>
    <t>SSD</t>
  </si>
  <si>
    <t>Samsung SSD</t>
  </si>
  <si>
    <t>Divya</t>
  </si>
  <si>
    <t>Envelope</t>
  </si>
  <si>
    <t>Office Envelope</t>
  </si>
  <si>
    <t>Akash</t>
  </si>
  <si>
    <t>Odisha</t>
  </si>
  <si>
    <t>Stool</t>
  </si>
  <si>
    <t>Wooden Stool</t>
  </si>
  <si>
    <t>Hina</t>
  </si>
  <si>
    <t>Punjab</t>
  </si>
  <si>
    <t>Webcam</t>
  </si>
  <si>
    <t>HD Webcam</t>
  </si>
  <si>
    <t>Sameer</t>
  </si>
  <si>
    <t>Diary</t>
  </si>
  <si>
    <t>Executive Diary</t>
  </si>
  <si>
    <t>Riya</t>
  </si>
  <si>
    <t>Andhra Pradesh</t>
  </si>
  <si>
    <t>Cupboard</t>
  </si>
  <si>
    <t>Steel Cupboard</t>
  </si>
  <si>
    <t>Deepak</t>
  </si>
  <si>
    <t>Himachal Pradesh</t>
  </si>
  <si>
    <t>Monitor</t>
  </si>
  <si>
    <t>Dell Monitor</t>
  </si>
  <si>
    <t>Sana</t>
  </si>
  <si>
    <t>West Bengal</t>
  </si>
  <si>
    <t>Dining Chair</t>
  </si>
  <si>
    <t>Harsh</t>
  </si>
  <si>
    <t>Paper</t>
  </si>
  <si>
    <t>Legal Paper</t>
  </si>
  <si>
    <t>Preeti</t>
  </si>
  <si>
    <t>Router</t>
  </si>
  <si>
    <t>WiFi Router</t>
  </si>
  <si>
    <t>Mohit</t>
  </si>
  <si>
    <t>Uttarakhand</t>
  </si>
  <si>
    <t>Desk</t>
  </si>
  <si>
    <t>Computer Desk</t>
  </si>
  <si>
    <t>Aditi</t>
  </si>
  <si>
    <t>Tripura</t>
  </si>
  <si>
    <t>Pen</t>
  </si>
  <si>
    <t>Ball Pen</t>
  </si>
  <si>
    <t>Salman</t>
  </si>
  <si>
    <t>Speaker</t>
  </si>
  <si>
    <t>Bluetooth Speaker</t>
  </si>
  <si>
    <t>Ritu</t>
  </si>
  <si>
    <t>Sofa</t>
  </si>
  <si>
    <t>Recliner Sofa</t>
  </si>
  <si>
    <t>Varun</t>
  </si>
  <si>
    <t>Notebook</t>
  </si>
  <si>
    <t>Spiral Notebook</t>
  </si>
  <si>
    <t>Isha</t>
  </si>
  <si>
    <t>Laptop</t>
  </si>
  <si>
    <t>Acer Laptop</t>
  </si>
  <si>
    <t>Aditya</t>
  </si>
  <si>
    <t>Coffee Table</t>
  </si>
  <si>
    <t>Noor</t>
  </si>
  <si>
    <t>Permanent Marker</t>
  </si>
  <si>
    <t>Kunal</t>
  </si>
  <si>
    <t>HP Wireless Mouse</t>
  </si>
  <si>
    <t>Sonal</t>
  </si>
  <si>
    <t>Book Shelf</t>
  </si>
  <si>
    <t>Faisal</t>
  </si>
  <si>
    <t>Plastic File</t>
  </si>
  <si>
    <t>Nisha</t>
  </si>
  <si>
    <t>Canon Printer</t>
  </si>
  <si>
    <t>Raj</t>
  </si>
  <si>
    <t>Single Bed</t>
  </si>
  <si>
    <t>Shreya</t>
  </si>
  <si>
    <t>Scientific Calculator</t>
  </si>
  <si>
    <t>Arif</t>
  </si>
  <si>
    <t>Headphones</t>
  </si>
  <si>
    <t>JBL Headphones</t>
  </si>
  <si>
    <t>Pallavi</t>
  </si>
  <si>
    <t>Executive Chair</t>
  </si>
  <si>
    <t>Vivek</t>
  </si>
  <si>
    <t>Kingston SSD</t>
  </si>
  <si>
    <t>Muskan</t>
  </si>
  <si>
    <t>Printing Paper</t>
  </si>
  <si>
    <t>Irfan</t>
  </si>
  <si>
    <t>Office Cabinet</t>
  </si>
  <si>
    <t>Tanvi</t>
  </si>
  <si>
    <t>LG Monitor</t>
  </si>
  <si>
    <t>Suraj</t>
  </si>
  <si>
    <t>Heavy Stapler</t>
  </si>
  <si>
    <t>Reema</t>
  </si>
  <si>
    <t>Fabric Sofa</t>
  </si>
  <si>
    <t>Bilal</t>
  </si>
  <si>
    <t>Boat Smartwatch</t>
  </si>
  <si>
    <t>Jyoti</t>
  </si>
  <si>
    <t>Business Diary</t>
  </si>
  <si>
    <t>Manish</t>
  </si>
  <si>
    <t>Study Desk</t>
  </si>
  <si>
    <t>Aarti</t>
  </si>
  <si>
    <t>Samsung Tablet</t>
  </si>
  <si>
    <t>month</t>
  </si>
  <si>
    <t>Year</t>
  </si>
  <si>
    <t>profit2</t>
  </si>
  <si>
    <t>Row Labels</t>
  </si>
  <si>
    <t>Jan</t>
  </si>
  <si>
    <t>Feb</t>
  </si>
  <si>
    <t>Mar</t>
  </si>
  <si>
    <t>Grand Total</t>
  </si>
  <si>
    <t>Sum of Sales</t>
  </si>
  <si>
    <t>Sum of Profit</t>
  </si>
  <si>
    <t>Sum of Quantity</t>
  </si>
  <si>
    <t>Count of Order ID</t>
  </si>
  <si>
    <t>TOTAL QUANTITY</t>
  </si>
  <si>
    <t>PROFIT</t>
  </si>
  <si>
    <t>ORDERS</t>
  </si>
  <si>
    <t>MARGIN</t>
  </si>
  <si>
    <t>TOTAL SALES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</si>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</sst>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1"/>
      <color theme="1"/>
      <name val="Calibri"/>
      <family val="2"/>
      <scheme val="minor"/>
    </font>
    <font>
      <b/>
      <sz val="11"/>
      <color theme="1"/>
      <name val="Calibri"/>
      <family val="2"/>
      <scheme val="minor"/>
    </font>
    <font>
      <b/>
      <sz val="11"/>
      <color theme="1"/>
      <name val="Calibri"/>
      <scheme val="minor"/>
    </font>
    <font>
      <sz val="11"/>
      <color theme="1"/>
      <name val="Calibri"/>
      <family val="2"/>
      <scheme val="minor"/>
    </font>
    <font>
      <b/>
      <i/>
      <sz val="11"/>
      <color theme="1"/>
      <name val="Calibri"/>
      <family val="2"/>
      <scheme val="minor"/>
    </font>
    <font>
      <b/>
      <sz val="24"/>
      <color theme="8" tint="-0.499984740745262"/>
      <name val="Calibri"/>
      <family val="2"/>
      <scheme val="minor"/>
    </font>
    <font>
      <b/>
      <sz val="12"/>
      <color theme="8" tint="-0.499984740745262"/>
      <name val="Calibri"/>
      <family val="2"/>
      <scheme val="minor"/>
    </font>
    <font>
      <b/>
      <sz val="22"/>
      <color theme="8" tint="-0.499984740745262"/>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23">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2" fontId="0" fillId="0" borderId="0" xfId="0" applyNumberFormat="1" applyAlignment="1">
      <alignment horizontal="right" vertical="center" wrapText="1"/>
    </xf>
    <xf numFmtId="0" fontId="2" fillId="0" borderId="0" xfId="0" applyFont="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9" fontId="0" fillId="0" borderId="0" xfId="1" applyFont="1"/>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7" fillId="2" borderId="0" xfId="0" applyFont="1" applyFill="1" applyAlignment="1">
      <alignment horizontal="center"/>
    </xf>
    <xf numFmtId="0" fontId="5" fillId="3" borderId="3" xfId="2" applyNumberFormat="1" applyFont="1" applyFill="1" applyBorder="1" applyAlignment="1">
      <alignment horizontal="center"/>
    </xf>
    <xf numFmtId="0" fontId="5" fillId="3" borderId="4" xfId="2" applyNumberFormat="1" applyFont="1" applyFill="1" applyBorder="1" applyAlignment="1">
      <alignment horizontal="center"/>
    </xf>
    <xf numFmtId="9" fontId="5" fillId="3" borderId="3" xfId="0" applyNumberFormat="1" applyFont="1" applyFill="1" applyBorder="1" applyAlignment="1">
      <alignment horizontal="center"/>
    </xf>
  </cellXfs>
  <cellStyles count="3">
    <cellStyle name="Comma" xfId="2" builtinId="3"/>
    <cellStyle name="Normal" xfId="0" builtinId="0"/>
    <cellStyle name="Percent" xfId="1" builtinId="5"/>
  </cellStyles>
  <dxfs count="16">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right" vertical="center" textRotation="0" wrapText="1" indent="0" justifyLastLine="0" shrinkToFit="0" readingOrder="0"/>
    </dxf>
  </dxfs>
  <tableStyles count="0" defaultTableStyle="TableStyleMedium2" defaultPivotStyle="PivotStyleLight16"/>
  <colors>
    <mruColors>
      <color rgb="FF9B69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[salesdashboard.xlsx]pivot!PivotTable1</c:name>
    <c:fmtId val="1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78747720244528"/>
          <c:y val="0.25258498936971319"/>
          <c:w val="0.5883780717080026"/>
          <c:h val="0.42511483549464041"/>
        </c:manualLayout>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pivot!$A$4:$A$7</c:f>
              <c:strCache>
                <c:ptCount val="3"/>
                <c:pt idx="0">
                  <c:v>Jan</c:v>
                </c:pt>
                <c:pt idx="1">
                  <c:v>Feb</c:v>
                </c:pt>
                <c:pt idx="2">
                  <c:v>Mar</c:v>
                </c:pt>
              </c:strCache>
            </c:strRef>
          </c:cat>
          <c:val>
            <c:numRef>
              <c:f>pivot!$B$4:$B$7</c:f>
              <c:numCache>
                <c:formatCode>General</c:formatCode>
                <c:ptCount val="3"/>
                <c:pt idx="0">
                  <c:v>77700</c:v>
                </c:pt>
                <c:pt idx="1">
                  <c:v>246450</c:v>
                </c:pt>
                <c:pt idx="2">
                  <c:v>142880</c:v>
                </c:pt>
              </c:numCache>
            </c:numRef>
          </c:val>
          <c:smooth val="0"/>
        </c:ser>
        <c:dLbls>
          <c:showLegendKey val="0"/>
          <c:showVal val="0"/>
          <c:showCatName val="0"/>
          <c:showSerName val="0"/>
          <c:showPercent val="0"/>
          <c:showBubbleSize val="0"/>
        </c:dLbls>
        <c:smooth val="0"/>
        <c:axId val="300703736"/>
        <c:axId val="381895512"/>
      </c:lineChart>
      <c:catAx>
        <c:axId val="300703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5512"/>
        <c:crosses val="autoZero"/>
        <c:auto val="1"/>
        <c:lblAlgn val="ctr"/>
        <c:lblOffset val="100"/>
        <c:noMultiLvlLbl val="0"/>
      </c:catAx>
      <c:valAx>
        <c:axId val="381895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00703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lumMod val="60000"/>
          <a:lumOff val="40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[salesdashboard.xlsx]pivot!PivotTable2</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r>
              <a:rPr lang="en-US"/>
              <a:t>Sales by Category</a:t>
            </a: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rich>
      </c:tx>
      <c:layout>
        <c:manualLayout>
          <c:xMode val="edge"/>
          <c:yMode val="edge"/>
          <c:x val="0.24563839202622473"/>
          <c:y val="6.5053676967002927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0393485554883639"/>
          <c:y val="0.25689015470282428"/>
          <c:w val="0.73578937007874012"/>
          <c:h val="0.53774387576552929"/>
        </c:manualLayout>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pivot!$E$4:$E$7</c:f>
              <c:strCache>
                <c:ptCount val="3"/>
                <c:pt idx="0">
                  <c:v>Furniture</c:v>
                </c:pt>
                <c:pt idx="1">
                  <c:v>Office Supplies</c:v>
                </c:pt>
                <c:pt idx="2">
                  <c:v>Technology</c:v>
                </c:pt>
              </c:strCache>
            </c:strRef>
          </c:cat>
          <c:val>
            <c:numRef>
              <c:f>pivot!$F$4:$F$7</c:f>
              <c:numCache>
                <c:formatCode>General</c:formatCode>
                <c:ptCount val="3"/>
                <c:pt idx="0">
                  <c:v>247300</c:v>
                </c:pt>
                <c:pt idx="1">
                  <c:v>16530</c:v>
                </c:pt>
                <c:pt idx="2">
                  <c:v>203200</c:v>
                </c:pt>
              </c:numCache>
            </c:numRef>
          </c:val>
        </c:ser>
        <c:dLbls>
          <c:showLegendKey val="0"/>
          <c:showVal val="0"/>
          <c:showCatName val="0"/>
          <c:showSerName val="0"/>
          <c:showPercent val="0"/>
          <c:showBubbleSize val="0"/>
        </c:dLbls>
        <c:gapWidth val="219"/>
        <c:overlap val="-27"/>
        <c:axId val="381900216"/>
        <c:axId val="381893552"/>
      </c:barChart>
      <c:catAx>
        <c:axId val="38190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3552"/>
        <c:crosses val="autoZero"/>
        <c:auto val="1"/>
        <c:lblAlgn val="ctr"/>
        <c:lblOffset val="100"/>
        <c:noMultiLvlLbl val="0"/>
      </c:catAx>
      <c:valAx>
        <c:axId val="381893552"/>
        <c:scaling>
          <c:orientation val="minMax"/>
        </c:scaling>
        <c:delete val="0"/>
        <c:axPos val="l"/>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900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lumMod val="60000"/>
          <a:lumOff val="40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[salesdashboard.xlsx]pivot!PivotTable4</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r>
              <a:rPr lang="en-US"/>
              <a:t>Top Products by Sales</a:t>
            </a: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rich>
      </c:tx>
      <c:layout>
        <c:manualLayout>
          <c:xMode val="edge"/>
          <c:yMode val="edge"/>
          <c:x val="0.19092476856551885"/>
          <c:y val="1.0828046365822495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5989875715597894"/>
          <c:y val="0.34295836347012032"/>
          <c:w val="0.38053720619816556"/>
          <c:h val="0.50276912815738306"/>
        </c:manualLayout>
      </c:layout>
      <c:barChart>
        <c:barDir val="bar"/>
        <c:grouping val="clustered"/>
        <c:varyColors val="0"/>
        <c:ser>
          <c:idx val="0"/>
          <c:order val="0"/>
          <c:tx>
            <c:strRef>
              <c:f>pivot!$F$15</c:f>
              <c:strCache>
                <c:ptCount val="1"/>
                <c:pt idx="0">
                  <c:v>Total</c:v>
                </c:pt>
              </c:strCache>
            </c:strRef>
          </c:tx>
          <c:spPr>
            <a:solidFill>
              <a:schemeClr val="accent1"/>
            </a:solidFill>
            <a:ln>
              <a:noFill/>
            </a:ln>
            <a:effectLst/>
          </c:spPr>
          <c:invertIfNegative val="0"/>
          <c:cat>
            <c:strRef>
              <c:f>pivot!$E$16:$E$26</c:f>
              <c:strCache>
                <c:ptCount val="10"/>
                <c:pt idx="0">
                  <c:v>Acer Laptop</c:v>
                </c:pt>
                <c:pt idx="1">
                  <c:v>Dell Monitor</c:v>
                </c:pt>
                <c:pt idx="2">
                  <c:v>Dining Table</c:v>
                </c:pt>
                <c:pt idx="3">
                  <c:v>Fabric Sofa</c:v>
                </c:pt>
                <c:pt idx="4">
                  <c:v>Lenovo Tablet</c:v>
                </c:pt>
                <c:pt idx="5">
                  <c:v>Queen Bed</c:v>
                </c:pt>
                <c:pt idx="6">
                  <c:v>Recliner Sofa</c:v>
                </c:pt>
                <c:pt idx="7">
                  <c:v>Samsung Tablet</c:v>
                </c:pt>
                <c:pt idx="8">
                  <c:v>Single Bed</c:v>
                </c:pt>
                <c:pt idx="9">
                  <c:v>Steel Cupboard</c:v>
                </c:pt>
              </c:strCache>
            </c:strRef>
          </c:cat>
          <c:val>
            <c:numRef>
              <c:f>pivot!$F$16:$F$26</c:f>
              <c:numCache>
                <c:formatCode>General</c:formatCode>
                <c:ptCount val="10"/>
                <c:pt idx="0">
                  <c:v>48000</c:v>
                </c:pt>
                <c:pt idx="1">
                  <c:v>17500</c:v>
                </c:pt>
                <c:pt idx="2">
                  <c:v>18000</c:v>
                </c:pt>
                <c:pt idx="3">
                  <c:v>30000</c:v>
                </c:pt>
                <c:pt idx="4">
                  <c:v>22000</c:v>
                </c:pt>
                <c:pt idx="5">
                  <c:v>28000</c:v>
                </c:pt>
                <c:pt idx="6">
                  <c:v>45000</c:v>
                </c:pt>
                <c:pt idx="7">
                  <c:v>26000</c:v>
                </c:pt>
                <c:pt idx="8">
                  <c:v>17000</c:v>
                </c:pt>
                <c:pt idx="9">
                  <c:v>21000</c:v>
                </c:pt>
              </c:numCache>
            </c:numRef>
          </c:val>
        </c:ser>
        <c:dLbls>
          <c:showLegendKey val="0"/>
          <c:showVal val="0"/>
          <c:showCatName val="0"/>
          <c:showSerName val="0"/>
          <c:showPercent val="0"/>
          <c:showBubbleSize val="0"/>
        </c:dLbls>
        <c:gapWidth val="182"/>
        <c:axId val="381896296"/>
        <c:axId val="381893944"/>
      </c:barChart>
      <c:catAx>
        <c:axId val="381896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3944"/>
        <c:crosses val="autoZero"/>
        <c:auto val="1"/>
        <c:lblAlgn val="ctr"/>
        <c:lblOffset val="100"/>
        <c:noMultiLvlLbl val="0"/>
      </c:catAx>
      <c:valAx>
        <c:axId val="381893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6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lumMod val="60000"/>
          <a:lumOff val="40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[salesdashboard.xlsx]pivot!PivotTable5</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r>
              <a:rPr lang="en-US"/>
              <a:t>Sales by State</a:t>
            </a: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rich>
      </c:tx>
      <c:layout>
        <c:manualLayout>
          <c:xMode val="edge"/>
          <c:yMode val="edge"/>
          <c:x val="0.32019052353699839"/>
          <c:y val="8.0053747371594888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50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pivot!$I$3</c:f>
              <c:strCache>
                <c:ptCount val="1"/>
                <c:pt idx="0">
                  <c:v>Total</c:v>
                </c:pt>
              </c:strCache>
            </c:strRef>
          </c:tx>
          <c:spPr>
            <a:solidFill>
              <a:schemeClr val="accent1"/>
            </a:solidFill>
            <a:ln>
              <a:noFill/>
            </a:ln>
            <a:effectLst/>
          </c:spPr>
          <c:invertIfNegative val="0"/>
          <c:cat>
            <c:strRef>
              <c:f>pivot!$H$4:$H$26</c:f>
              <c:strCache>
                <c:ptCount val="22"/>
                <c:pt idx="0">
                  <c:v>Andhra Pradesh</c:v>
                </c:pt>
                <c:pt idx="1">
                  <c:v>Assam</c:v>
                </c:pt>
                <c:pt idx="2">
                  <c:v>Bihar</c:v>
                </c:pt>
                <c:pt idx="3">
                  <c:v>Chandigarh</c:v>
                </c:pt>
                <c:pt idx="4">
                  <c:v>Delhi</c:v>
                </c:pt>
                <c:pt idx="5">
                  <c:v>Goa</c:v>
                </c:pt>
                <c:pt idx="6">
                  <c:v>Gujarat</c:v>
                </c:pt>
                <c:pt idx="7">
                  <c:v>Haryana</c:v>
                </c:pt>
                <c:pt idx="8">
                  <c:v>Himachal Pradesh</c:v>
                </c:pt>
                <c:pt idx="9">
                  <c:v>Jharkhand</c:v>
                </c:pt>
                <c:pt idx="10">
                  <c:v>Karnataka</c:v>
                </c:pt>
                <c:pt idx="11">
                  <c:v>Kerala</c:v>
                </c:pt>
                <c:pt idx="12">
                  <c:v>Maharashtra</c:v>
                </c:pt>
                <c:pt idx="13">
                  <c:v>Odisha</c:v>
                </c:pt>
                <c:pt idx="14">
                  <c:v>Punjab</c:v>
                </c:pt>
                <c:pt idx="15">
                  <c:v>Rajasthan</c:v>
                </c:pt>
                <c:pt idx="16">
                  <c:v>Tamil Nadu</c:v>
                </c:pt>
                <c:pt idx="17">
                  <c:v>Telangana</c:v>
                </c:pt>
                <c:pt idx="18">
                  <c:v>Tripura</c:v>
                </c:pt>
                <c:pt idx="19">
                  <c:v>Uttar Pradesh</c:v>
                </c:pt>
                <c:pt idx="20">
                  <c:v>Uttarakhand</c:v>
                </c:pt>
                <c:pt idx="21">
                  <c:v>West Bengal</c:v>
                </c:pt>
              </c:strCache>
            </c:strRef>
          </c:cat>
          <c:val>
            <c:numRef>
              <c:f>pivot!$I$4:$I$26</c:f>
              <c:numCache>
                <c:formatCode>General</c:formatCode>
                <c:ptCount val="22"/>
                <c:pt idx="0">
                  <c:v>29900</c:v>
                </c:pt>
                <c:pt idx="1">
                  <c:v>96000</c:v>
                </c:pt>
                <c:pt idx="2">
                  <c:v>28500</c:v>
                </c:pt>
                <c:pt idx="3">
                  <c:v>12000</c:v>
                </c:pt>
                <c:pt idx="4">
                  <c:v>3700</c:v>
                </c:pt>
                <c:pt idx="5">
                  <c:v>7650</c:v>
                </c:pt>
                <c:pt idx="6">
                  <c:v>10500</c:v>
                </c:pt>
                <c:pt idx="7">
                  <c:v>11200</c:v>
                </c:pt>
                <c:pt idx="8">
                  <c:v>17500</c:v>
                </c:pt>
                <c:pt idx="9">
                  <c:v>31400</c:v>
                </c:pt>
                <c:pt idx="10">
                  <c:v>15450</c:v>
                </c:pt>
                <c:pt idx="11">
                  <c:v>47200</c:v>
                </c:pt>
                <c:pt idx="12">
                  <c:v>20850</c:v>
                </c:pt>
                <c:pt idx="13">
                  <c:v>4400</c:v>
                </c:pt>
                <c:pt idx="14">
                  <c:v>11000</c:v>
                </c:pt>
                <c:pt idx="15">
                  <c:v>19700</c:v>
                </c:pt>
                <c:pt idx="16">
                  <c:v>59980</c:v>
                </c:pt>
                <c:pt idx="17">
                  <c:v>6150</c:v>
                </c:pt>
                <c:pt idx="18">
                  <c:v>750</c:v>
                </c:pt>
                <c:pt idx="19">
                  <c:v>17700</c:v>
                </c:pt>
                <c:pt idx="20">
                  <c:v>9500</c:v>
                </c:pt>
                <c:pt idx="21">
                  <c:v>6000</c:v>
                </c:pt>
              </c:numCache>
            </c:numRef>
          </c:val>
        </c:ser>
        <c:dLbls>
          <c:showLegendKey val="0"/>
          <c:showVal val="0"/>
          <c:showCatName val="0"/>
          <c:showSerName val="0"/>
          <c:showPercent val="0"/>
          <c:showBubbleSize val="0"/>
        </c:dLbls>
        <c:gapWidth val="182"/>
        <c:axId val="381895904"/>
        <c:axId val="381897472"/>
      </c:barChart>
      <c:catAx>
        <c:axId val="3818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7472"/>
        <c:crosses val="autoZero"/>
        <c:auto val="1"/>
        <c:lblAlgn val="ctr"/>
        <c:lblOffset val="100"/>
        <c:noMultiLvlLbl val="0"/>
      </c:catAx>
      <c:valAx>
        <c:axId val="38189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381895904"/>
        <c:crosses val="autoZero"/>
        <c:crossBetween val="between"/>
      </c:valAx>
      <c:spPr>
        <a:noFill/>
        <a:ln>
          <a:solidFill>
            <a:schemeClr val="accent1">
              <a:lumMod val="60000"/>
              <a:lumOff val="4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lumMod val="60000"/>
          <a:lumOff val="40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solidFill>
                  <a:schemeClr val="accent5">
                    <a:lumMod val="50000"/>
                  </a:schemeClr>
                </a:solidFill>
              </a:rPr>
              <a:t>Profit Distribution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pivot!$A$16:$A$20</c:f>
              <c:strCache>
                <c:ptCount val="4"/>
                <c:pt idx="0">
                  <c:v>East</c:v>
                </c:pt>
                <c:pt idx="1">
                  <c:v>North</c:v>
                </c:pt>
                <c:pt idx="2">
                  <c:v>South</c:v>
                </c:pt>
                <c:pt idx="3">
                  <c:v>West</c:v>
                </c:pt>
              </c:strCache>
            </c:strRef>
          </c:cat>
          <c:val>
            <c:numRef>
              <c:f>pivot!$B$16:$B$20</c:f>
              <c:numCache>
                <c:formatCode>General</c:formatCode>
                <c:ptCount val="4"/>
                <c:pt idx="0">
                  <c:v>29920</c:v>
                </c:pt>
                <c:pt idx="1">
                  <c:v>15590</c:v>
                </c:pt>
                <c:pt idx="2">
                  <c:v>30470</c:v>
                </c:pt>
                <c:pt idx="3">
                  <c:v>11710</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416130359338281"/>
          <c:y val="0.33922130208338591"/>
          <c:w val="0.14636218301669385"/>
          <c:h val="0.5258593449504366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640882</xdr:colOff>
      <xdr:row>17</xdr:row>
      <xdr:rowOff>5670</xdr:rowOff>
    </xdr:from>
    <xdr:to>
      <xdr:col>5</xdr:col>
      <xdr:colOff>323170</xdr:colOff>
      <xdr:row>27</xdr:row>
      <xdr:rowOff>39688</xdr:rowOff>
    </xdr:to>
    <xdr:graphicFrame macro="">
      <xdr:nvGraphicFramePr>
        <xdr:cNvPr id="2" name="Monthly Sales Tre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459241</xdr:colOff>
      <xdr:row>6</xdr:row>
      <xdr:rowOff>79375</xdr:rowOff>
    </xdr:from>
    <xdr:to>
      <xdr:col>15</xdr:col>
      <xdr:colOff>51026</xdr:colOff>
      <xdr:row>27</xdr:row>
      <xdr:rowOff>39688</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658308</xdr:colOff>
      <xdr:row>6</xdr:row>
      <xdr:rowOff>85045</xdr:rowOff>
    </xdr:from>
    <xdr:to>
      <xdr:col>5</xdr:col>
      <xdr:colOff>323170</xdr:colOff>
      <xdr:row>16</xdr:row>
      <xdr:rowOff>113392</xdr:rowOff>
    </xdr:to>
    <xdr:graphicFrame macro="">
      <xdr:nvGraphicFramePr>
        <xdr:cNvPr id="5"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414931</xdr:colOff>
      <xdr:row>6</xdr:row>
      <xdr:rowOff>90714</xdr:rowOff>
    </xdr:from>
    <xdr:to>
      <xdr:col>10</xdr:col>
      <xdr:colOff>385535</xdr:colOff>
      <xdr:row>16</xdr:row>
      <xdr:rowOff>116266</xdr:rowOff>
    </xdr:to>
    <xdr:graphicFrame macro="">
      <xdr:nvGraphicFramePr>
        <xdr:cNvPr id="6"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393601</xdr:colOff>
      <xdr:row>16</xdr:row>
      <xdr:rowOff>184543</xdr:rowOff>
    </xdr:from>
    <xdr:to>
      <xdr:col>10</xdr:col>
      <xdr:colOff>382261</xdr:colOff>
      <xdr:row>27</xdr:row>
      <xdr:rowOff>30744</xdr:rowOff>
    </xdr:to>
    <xdr:graphicFrame macro="">
      <xdr:nvGraphicFramePr>
        <xdr:cNvPr id="7"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419100</xdr:colOff>
      <xdr:row>4</xdr:row>
      <xdr:rowOff>171450</xdr:rowOff>
    </xdr:from>
    <xdr:to>
      <xdr:col>17</xdr:col>
      <xdr:colOff>406400</xdr:colOff>
      <xdr:row>18</xdr:row>
      <xdr:rowOff>117475</xdr:rowOff>
    </xdr:to>
    <mc:AlternateContent xmlns:mc="http://schemas.openxmlformats.org/markup-compatibility/2006" xmlns:a14="http://schemas.microsoft.com/office/drawing/2010/main">
      <mc:Choice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47550" y="908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1092200</xdr:colOff>
      <xdr:row>5</xdr:row>
      <xdr:rowOff>12700</xdr:rowOff>
    </xdr:from>
    <xdr:to>
      <xdr:col>20</xdr:col>
      <xdr:colOff>596900</xdr:colOff>
      <xdr:row>18</xdr:row>
      <xdr:rowOff>142875</xdr:rowOff>
    </xdr:to>
    <mc:AlternateContent xmlns:mc="http://schemas.openxmlformats.org/markup-compatibility/2006" xmlns:a14="http://schemas.microsoft.com/office/drawing/2010/main">
      <mc:Choice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62150"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6350</xdr:colOff>
      <xdr:row>5</xdr:row>
      <xdr:rowOff>6350</xdr:rowOff>
    </xdr:from>
    <xdr:to>
      <xdr:col>25</xdr:col>
      <xdr:colOff>6350</xdr:colOff>
      <xdr:row>18</xdr:row>
      <xdr:rowOff>136525</xdr:rowOff>
    </xdr:to>
    <mc:AlternateContent xmlns:mc="http://schemas.openxmlformats.org/markup-compatibility/2006" xmlns:a14="http://schemas.microsoft.com/office/drawing/2010/main">
      <mc:Choice Requires="a14">
        <xdr:graphicFrame macro="">
          <xdr:nvGraphicFramePr>
            <xdr:cNvPr id="1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119600" y="92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30.937319907411" createdVersion="5" refreshedVersion="5" minRefreshableVersion="3" recordCount="50">
  <cacheSource type="worksheet">
    <worksheetSource name="Table1"/>
  </cacheSource>
  <cacheFields count="14">
    <cacheField name="Order ID" numFmtId="0">
      <sharedItems containsSemiMixedTypes="0" containsString="0" containsNumber="1" containsInteger="1" minValue="1011" maxValue="1060" count="5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sharedItems>
    </cacheField>
    <cacheField name="Order Date" numFmtId="14">
      <sharedItems containsSemiMixedTypes="0" containsNonDate="0" containsDate="1" containsString="0" minDate="2025-01-24T00:00:00" maxDate="2025-03-15T00:00:00" count="5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sharedItems>
    </cacheField>
    <cacheField name="Customer" numFmtId="0">
      <sharedItems count="50">
        <s v="Karan"/>
        <s v="Meera"/>
        <s v="Vikram"/>
        <s v="Sneha"/>
        <s v="Rohan"/>
        <s v="Anjali"/>
        <s v="Imran"/>
        <s v="Pooja"/>
        <s v="Aman"/>
        <s v="Kavya"/>
        <s v="Nikhil"/>
        <s v="Zara"/>
        <s v="Rohit"/>
        <s v="Simran"/>
        <s v="Yusuf"/>
        <s v="Divya"/>
        <s v="Akash"/>
        <s v="Hina"/>
        <s v="Sameer"/>
        <s v="Riya"/>
        <s v="Deepak"/>
        <s v="Sana"/>
        <s v="Harsh"/>
        <s v="Preeti"/>
        <s v="Mohit"/>
        <s v="Aditi"/>
        <s v="Salman"/>
        <s v="Ritu"/>
        <s v="Varun"/>
        <s v="Isha"/>
        <s v="Aditya"/>
        <s v="Noor"/>
        <s v="Kunal"/>
        <s v="Sonal"/>
        <s v="Faisal"/>
        <s v="Nisha"/>
        <s v="Raj"/>
        <s v="Shreya"/>
        <s v="Arif"/>
        <s v="Pallavi"/>
        <s v="Vivek"/>
        <s v="Muskan"/>
        <s v="Irfan"/>
        <s v="Tanvi"/>
        <s v="Suraj"/>
        <s v="Reema"/>
        <s v="Bilal"/>
        <s v="Jyoti"/>
        <s v="Manish"/>
        <s v="Aarti"/>
      </sharedItems>
    </cacheField>
    <cacheField name="Region" numFmtId="0">
      <sharedItems count="4">
        <s v="North"/>
        <s v="South"/>
        <s v="West"/>
        <s v="East"/>
      </sharedItems>
    </cacheField>
    <cacheField name="State" numFmtId="0">
      <sharedItems count="22">
        <s v="Haryana"/>
        <s v="Karnataka"/>
        <s v="Maharashtra"/>
        <s v="Assam"/>
        <s v="Kerala"/>
        <s v="Delhi"/>
        <s v="Gujarat"/>
        <s v="Bihar"/>
        <s v="Tamil Nadu"/>
        <s v="Uttar Pradesh"/>
        <s v="Rajasthan"/>
        <s v="Telangana"/>
        <s v="Jharkhand"/>
        <s v="Chandigarh"/>
        <s v="Goa"/>
        <s v="Odisha"/>
        <s v="Punjab"/>
        <s v="Andhra Pradesh"/>
        <s v="Himachal Pradesh"/>
        <s v="West Bengal"/>
        <s v="Uttarakhand"/>
        <s v="Tripura"/>
      </sharedItems>
    </cacheField>
    <cacheField name="Category" numFmtId="0">
      <sharedItems count="3">
        <s v="Technology"/>
        <s v="Furniture"/>
        <s v="Office Supplies"/>
      </sharedItems>
    </cacheField>
    <cacheField name="Sub Category" numFmtId="0">
      <sharedItems count="30">
        <s v="Mouse"/>
        <s v="Chair"/>
        <s v="File"/>
        <s v="Tablet"/>
        <s v="Bed"/>
        <s v="Marker"/>
        <s v="Keyboard"/>
        <s v="Table"/>
        <s v="Printer"/>
        <s v="Stapler"/>
        <s v="Shelf"/>
        <s v="Smartwatch"/>
        <s v="Calculator"/>
        <s v="Cabinet"/>
        <s v="SSD"/>
        <s v="Envelope"/>
        <s v="Stool"/>
        <s v="Webcam"/>
        <s v="Diary"/>
        <s v="Cupboard"/>
        <s v="Monitor"/>
        <s v="Paper"/>
        <s v="Router"/>
        <s v="Desk"/>
        <s v="Pen"/>
        <s v="Speaker"/>
        <s v="Sofa"/>
        <s v="Notebook"/>
        <s v="Laptop"/>
        <s v="Headphones"/>
      </sharedItems>
    </cacheField>
    <cacheField name="Product" numFmtId="0">
      <sharedItems count="50">
        <s v="Logitech Mouse"/>
        <s v="Plastic Chair"/>
        <s v="Office File"/>
        <s v="Lenovo Tablet"/>
        <s v="Queen Bed"/>
        <s v="Whiteboard Marker"/>
        <s v="Mechanical Keyboard"/>
        <s v="Dining Table"/>
        <s v="HP Printer"/>
        <s v="Stapler"/>
        <s v="Wooden Shelf"/>
        <s v="Noise Watch"/>
        <s v="Casio Calculator"/>
        <s v="Storage Cabinet"/>
        <s v="Samsung SSD"/>
        <s v="Office Envelope"/>
        <s v="Wooden Stool"/>
        <s v="HD Webcam"/>
        <s v="Executive Diary"/>
        <s v="Steel Cupboard"/>
        <s v="Dell Monitor"/>
        <s v="Dining Chair"/>
        <s v="Legal Paper"/>
        <s v="WiFi Router"/>
        <s v="Computer Desk"/>
        <s v="Ball Pen"/>
        <s v="Bluetooth Speaker"/>
        <s v="Recliner Sofa"/>
        <s v="Spiral Notebook"/>
        <s v="Acer Laptop"/>
        <s v="Coffee Table"/>
        <s v="Permanent Marker"/>
        <s v="HP Wireless Mouse"/>
        <s v="Book Shelf"/>
        <s v="Plastic File"/>
        <s v="Canon Printer"/>
        <s v="Single Bed"/>
        <s v="Scientific Calculator"/>
        <s v="JBL Headphones"/>
        <s v="Executive Chair"/>
        <s v="Kingston SSD"/>
        <s v="Printing Paper"/>
        <s v="Office Cabinet"/>
        <s v="LG Monitor"/>
        <s v="Heavy Stapler"/>
        <s v="Fabric Sofa"/>
        <s v="Boat Smartwatch"/>
        <s v="Business Diary"/>
        <s v="Study Desk"/>
        <s v="Samsung Tablet"/>
      </sharedItems>
    </cacheField>
    <cacheField name="Sales" numFmtId="2">
      <sharedItems containsSemiMixedTypes="0" containsString="0" containsNumber="1" containsInteger="1" minValue="450" maxValue="48000" count="45">
        <n v="1200"/>
        <n v="2500"/>
        <n v="600"/>
        <n v="22000"/>
        <n v="28000"/>
        <n v="900"/>
        <n v="4500"/>
        <n v="18000"/>
        <n v="14000"/>
        <n v="700"/>
        <n v="9500"/>
        <n v="5500"/>
        <n v="1400"/>
        <n v="12000"/>
        <n v="6800"/>
        <n v="450"/>
        <n v="2200"/>
        <n v="3800"/>
        <n v="950"/>
        <n v="21000"/>
        <n v="17500"/>
        <n v="4200"/>
        <n v="1500"/>
        <n v="3200"/>
        <n v="750"/>
        <n v="4800"/>
        <n v="45000"/>
        <n v="1700"/>
        <n v="48000"/>
        <n v="6000"/>
        <n v="650"/>
        <n v="10500"/>
        <n v="850"/>
        <n v="12500"/>
        <n v="17000"/>
        <n v="8900"/>
        <n v="7200"/>
        <n v="1800"/>
        <n v="14500"/>
        <n v="16000"/>
        <n v="1100"/>
        <n v="30000"/>
        <n v="980"/>
        <n v="8500"/>
        <n v="26000"/>
      </sharedItems>
    </cacheField>
    <cacheField name="Profit" numFmtId="2">
      <sharedItems containsSemiMixedTypes="0" containsString="0" containsNumber="1" containsInteger="1" minValue="90" maxValue="9000" count="42">
        <n v="250"/>
        <n v="500"/>
        <n v="120"/>
        <n v="3500"/>
        <n v="5500"/>
        <n v="180"/>
        <n v="850"/>
        <n v="3200"/>
        <n v="2500"/>
        <n v="150"/>
        <n v="1900"/>
        <n v="900"/>
        <n v="300"/>
        <n v="2400"/>
        <n v="1400"/>
        <n v="90"/>
        <n v="420"/>
        <n v="700"/>
        <n v="200"/>
        <n v="4000"/>
        <n v="2800"/>
        <n v="280"/>
        <n v="650"/>
        <n v="1700"/>
        <n v="140"/>
        <n v="950"/>
        <n v="9000"/>
        <n v="320"/>
        <n v="8200"/>
        <n v="1200"/>
        <n v="130"/>
        <n v="2100"/>
        <n v="160"/>
        <n v="3400"/>
        <n v="450"/>
        <n v="1800"/>
        <n v="1450"/>
        <n v="360"/>
        <n v="2900"/>
        <n v="220"/>
        <n v="6100"/>
        <n v="4300"/>
      </sharedItems>
    </cacheField>
    <cacheField name="Quantity" numFmtId="0">
      <sharedItems containsSemiMixedTypes="0" containsString="0" containsNumber="1" containsInteger="1" minValue="1" maxValue="20" count="13">
        <n v="3"/>
        <n v="2"/>
        <n v="8"/>
        <n v="1"/>
        <n v="12"/>
        <n v="5"/>
        <n v="20"/>
        <n v="6"/>
        <n v="15"/>
        <n v="10"/>
        <n v="4"/>
        <n v="9"/>
        <n v="7"/>
      </sharedItems>
    </cacheField>
    <cacheField name="month" numFmtId="0">
      <sharedItems count="3">
        <s v="Jan"/>
        <s v="Feb"/>
        <s v="Mar"/>
      </sharedItems>
    </cacheField>
    <cacheField name="Year" numFmtId="0">
      <sharedItems containsSemiMixedTypes="0" containsString="0" containsNumber="1" containsInteger="1" minValue="2025" maxValue="2025" count="1">
        <n v="2025"/>
      </sharedItems>
    </cacheField>
    <cacheField name="profit2" numFmtId="0">
      <sharedItems containsSemiMixedTypes="0" containsString="0" containsNumber="1" minValue="0.15909090909090909" maxValue="0.21428571428571427" count="31">
        <n v="0.20833333333333334"/>
        <n v="0.2"/>
        <n v="0.15909090909090909"/>
        <n v="0.19642857142857142"/>
        <n v="0.18888888888888888"/>
        <n v="0.17777777777777778"/>
        <n v="0.17857142857142858"/>
        <n v="0.21428571428571427"/>
        <n v="0.16363636363636364"/>
        <n v="0.20588235294117646"/>
        <n v="0.19090909090909092"/>
        <n v="0.18421052631578946"/>
        <n v="0.21052631578947367"/>
        <n v="0.19047619047619047"/>
        <n v="0.16"/>
        <n v="0.20238095238095238"/>
        <n v="0.18666666666666668"/>
        <n v="0.203125"/>
        <n v="0.17894736842105263"/>
        <n v="0.19791666666666666"/>
        <n v="0.18823529411764706"/>
        <n v="0.17083333333333334"/>
        <n v="0.21333333333333335"/>
        <n v="0.192"/>
        <n v="0.20454545454545456"/>
        <n v="0.20224719101123595"/>
        <n v="0.2013888888888889"/>
        <n v="0.17499999999999999"/>
        <n v="0.20333333333333334"/>
        <n v="0.20408163265306123"/>
        <n v="0.1653846153846153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x v="0"/>
    <x v="0"/>
    <x v="0"/>
    <x v="0"/>
    <x v="0"/>
    <x v="0"/>
    <x v="0"/>
    <x v="0"/>
    <x v="0"/>
    <x v="0"/>
    <x v="0"/>
    <x v="0"/>
  </r>
  <r>
    <x v="1"/>
    <x v="1"/>
    <x v="1"/>
    <x v="1"/>
    <x v="1"/>
    <x v="1"/>
    <x v="1"/>
    <x v="1"/>
    <x v="1"/>
    <x v="1"/>
    <x v="1"/>
    <x v="0"/>
    <x v="0"/>
    <x v="1"/>
  </r>
  <r>
    <x v="2"/>
    <x v="2"/>
    <x v="2"/>
    <x v="2"/>
    <x v="2"/>
    <x v="2"/>
    <x v="2"/>
    <x v="2"/>
    <x v="2"/>
    <x v="2"/>
    <x v="2"/>
    <x v="0"/>
    <x v="0"/>
    <x v="1"/>
  </r>
  <r>
    <x v="3"/>
    <x v="3"/>
    <x v="3"/>
    <x v="3"/>
    <x v="3"/>
    <x v="0"/>
    <x v="3"/>
    <x v="3"/>
    <x v="3"/>
    <x v="3"/>
    <x v="3"/>
    <x v="0"/>
    <x v="0"/>
    <x v="2"/>
  </r>
  <r>
    <x v="4"/>
    <x v="4"/>
    <x v="4"/>
    <x v="1"/>
    <x v="4"/>
    <x v="1"/>
    <x v="4"/>
    <x v="4"/>
    <x v="4"/>
    <x v="4"/>
    <x v="3"/>
    <x v="0"/>
    <x v="0"/>
    <x v="3"/>
  </r>
  <r>
    <x v="5"/>
    <x v="5"/>
    <x v="5"/>
    <x v="0"/>
    <x v="5"/>
    <x v="2"/>
    <x v="5"/>
    <x v="5"/>
    <x v="5"/>
    <x v="5"/>
    <x v="4"/>
    <x v="0"/>
    <x v="0"/>
    <x v="1"/>
  </r>
  <r>
    <x v="6"/>
    <x v="6"/>
    <x v="6"/>
    <x v="2"/>
    <x v="6"/>
    <x v="0"/>
    <x v="6"/>
    <x v="6"/>
    <x v="6"/>
    <x v="6"/>
    <x v="1"/>
    <x v="0"/>
    <x v="0"/>
    <x v="4"/>
  </r>
  <r>
    <x v="7"/>
    <x v="7"/>
    <x v="7"/>
    <x v="3"/>
    <x v="7"/>
    <x v="1"/>
    <x v="7"/>
    <x v="7"/>
    <x v="7"/>
    <x v="7"/>
    <x v="3"/>
    <x v="0"/>
    <x v="0"/>
    <x v="5"/>
  </r>
  <r>
    <x v="8"/>
    <x v="8"/>
    <x v="8"/>
    <x v="1"/>
    <x v="8"/>
    <x v="0"/>
    <x v="8"/>
    <x v="8"/>
    <x v="8"/>
    <x v="8"/>
    <x v="3"/>
    <x v="1"/>
    <x v="0"/>
    <x v="6"/>
  </r>
  <r>
    <x v="9"/>
    <x v="9"/>
    <x v="9"/>
    <x v="0"/>
    <x v="9"/>
    <x v="2"/>
    <x v="9"/>
    <x v="9"/>
    <x v="9"/>
    <x v="9"/>
    <x v="5"/>
    <x v="1"/>
    <x v="0"/>
    <x v="7"/>
  </r>
  <r>
    <x v="10"/>
    <x v="10"/>
    <x v="10"/>
    <x v="2"/>
    <x v="10"/>
    <x v="1"/>
    <x v="10"/>
    <x v="10"/>
    <x v="10"/>
    <x v="10"/>
    <x v="3"/>
    <x v="1"/>
    <x v="0"/>
    <x v="1"/>
  </r>
  <r>
    <x v="11"/>
    <x v="11"/>
    <x v="11"/>
    <x v="1"/>
    <x v="11"/>
    <x v="0"/>
    <x v="11"/>
    <x v="11"/>
    <x v="11"/>
    <x v="11"/>
    <x v="1"/>
    <x v="1"/>
    <x v="0"/>
    <x v="8"/>
  </r>
  <r>
    <x v="12"/>
    <x v="12"/>
    <x v="12"/>
    <x v="3"/>
    <x v="12"/>
    <x v="2"/>
    <x v="12"/>
    <x v="12"/>
    <x v="12"/>
    <x v="12"/>
    <x v="1"/>
    <x v="1"/>
    <x v="0"/>
    <x v="7"/>
  </r>
  <r>
    <x v="13"/>
    <x v="13"/>
    <x v="13"/>
    <x v="0"/>
    <x v="13"/>
    <x v="1"/>
    <x v="13"/>
    <x v="13"/>
    <x v="13"/>
    <x v="13"/>
    <x v="3"/>
    <x v="1"/>
    <x v="0"/>
    <x v="1"/>
  </r>
  <r>
    <x v="14"/>
    <x v="14"/>
    <x v="14"/>
    <x v="2"/>
    <x v="14"/>
    <x v="0"/>
    <x v="14"/>
    <x v="14"/>
    <x v="14"/>
    <x v="14"/>
    <x v="1"/>
    <x v="1"/>
    <x v="0"/>
    <x v="9"/>
  </r>
  <r>
    <x v="15"/>
    <x v="15"/>
    <x v="15"/>
    <x v="1"/>
    <x v="1"/>
    <x v="2"/>
    <x v="15"/>
    <x v="15"/>
    <x v="15"/>
    <x v="15"/>
    <x v="6"/>
    <x v="1"/>
    <x v="0"/>
    <x v="1"/>
  </r>
  <r>
    <x v="16"/>
    <x v="16"/>
    <x v="16"/>
    <x v="3"/>
    <x v="15"/>
    <x v="1"/>
    <x v="16"/>
    <x v="16"/>
    <x v="16"/>
    <x v="16"/>
    <x v="0"/>
    <x v="1"/>
    <x v="0"/>
    <x v="10"/>
  </r>
  <r>
    <x v="17"/>
    <x v="17"/>
    <x v="17"/>
    <x v="0"/>
    <x v="16"/>
    <x v="0"/>
    <x v="17"/>
    <x v="17"/>
    <x v="17"/>
    <x v="17"/>
    <x v="1"/>
    <x v="1"/>
    <x v="0"/>
    <x v="11"/>
  </r>
  <r>
    <x v="18"/>
    <x v="18"/>
    <x v="18"/>
    <x v="2"/>
    <x v="2"/>
    <x v="2"/>
    <x v="18"/>
    <x v="18"/>
    <x v="18"/>
    <x v="18"/>
    <x v="5"/>
    <x v="1"/>
    <x v="0"/>
    <x v="12"/>
  </r>
  <r>
    <x v="19"/>
    <x v="19"/>
    <x v="19"/>
    <x v="1"/>
    <x v="17"/>
    <x v="1"/>
    <x v="19"/>
    <x v="19"/>
    <x v="19"/>
    <x v="19"/>
    <x v="3"/>
    <x v="1"/>
    <x v="0"/>
    <x v="13"/>
  </r>
  <r>
    <x v="20"/>
    <x v="20"/>
    <x v="20"/>
    <x v="0"/>
    <x v="18"/>
    <x v="0"/>
    <x v="20"/>
    <x v="20"/>
    <x v="20"/>
    <x v="20"/>
    <x v="3"/>
    <x v="1"/>
    <x v="0"/>
    <x v="14"/>
  </r>
  <r>
    <x v="21"/>
    <x v="21"/>
    <x v="21"/>
    <x v="3"/>
    <x v="19"/>
    <x v="1"/>
    <x v="1"/>
    <x v="21"/>
    <x v="21"/>
    <x v="6"/>
    <x v="1"/>
    <x v="1"/>
    <x v="0"/>
    <x v="15"/>
  </r>
  <r>
    <x v="22"/>
    <x v="22"/>
    <x v="22"/>
    <x v="2"/>
    <x v="6"/>
    <x v="2"/>
    <x v="21"/>
    <x v="22"/>
    <x v="22"/>
    <x v="21"/>
    <x v="7"/>
    <x v="1"/>
    <x v="0"/>
    <x v="16"/>
  </r>
  <r>
    <x v="23"/>
    <x v="23"/>
    <x v="23"/>
    <x v="1"/>
    <x v="4"/>
    <x v="0"/>
    <x v="22"/>
    <x v="23"/>
    <x v="23"/>
    <x v="22"/>
    <x v="1"/>
    <x v="1"/>
    <x v="0"/>
    <x v="17"/>
  </r>
  <r>
    <x v="24"/>
    <x v="24"/>
    <x v="24"/>
    <x v="0"/>
    <x v="20"/>
    <x v="1"/>
    <x v="23"/>
    <x v="24"/>
    <x v="10"/>
    <x v="23"/>
    <x v="3"/>
    <x v="1"/>
    <x v="0"/>
    <x v="18"/>
  </r>
  <r>
    <x v="25"/>
    <x v="25"/>
    <x v="25"/>
    <x v="3"/>
    <x v="21"/>
    <x v="2"/>
    <x v="24"/>
    <x v="25"/>
    <x v="24"/>
    <x v="24"/>
    <x v="8"/>
    <x v="1"/>
    <x v="0"/>
    <x v="16"/>
  </r>
  <r>
    <x v="26"/>
    <x v="26"/>
    <x v="26"/>
    <x v="2"/>
    <x v="2"/>
    <x v="0"/>
    <x v="25"/>
    <x v="26"/>
    <x v="25"/>
    <x v="25"/>
    <x v="1"/>
    <x v="1"/>
    <x v="0"/>
    <x v="19"/>
  </r>
  <r>
    <x v="27"/>
    <x v="27"/>
    <x v="27"/>
    <x v="1"/>
    <x v="8"/>
    <x v="1"/>
    <x v="26"/>
    <x v="27"/>
    <x v="26"/>
    <x v="26"/>
    <x v="3"/>
    <x v="1"/>
    <x v="0"/>
    <x v="1"/>
  </r>
  <r>
    <x v="28"/>
    <x v="28"/>
    <x v="28"/>
    <x v="0"/>
    <x v="5"/>
    <x v="2"/>
    <x v="27"/>
    <x v="28"/>
    <x v="27"/>
    <x v="27"/>
    <x v="2"/>
    <x v="1"/>
    <x v="0"/>
    <x v="20"/>
  </r>
  <r>
    <x v="29"/>
    <x v="29"/>
    <x v="29"/>
    <x v="3"/>
    <x v="3"/>
    <x v="0"/>
    <x v="28"/>
    <x v="29"/>
    <x v="28"/>
    <x v="28"/>
    <x v="3"/>
    <x v="1"/>
    <x v="0"/>
    <x v="21"/>
  </r>
  <r>
    <x v="30"/>
    <x v="30"/>
    <x v="30"/>
    <x v="2"/>
    <x v="10"/>
    <x v="1"/>
    <x v="7"/>
    <x v="30"/>
    <x v="29"/>
    <x v="29"/>
    <x v="3"/>
    <x v="1"/>
    <x v="0"/>
    <x v="1"/>
  </r>
  <r>
    <x v="31"/>
    <x v="31"/>
    <x v="31"/>
    <x v="1"/>
    <x v="11"/>
    <x v="2"/>
    <x v="5"/>
    <x v="31"/>
    <x v="30"/>
    <x v="30"/>
    <x v="9"/>
    <x v="1"/>
    <x v="0"/>
    <x v="1"/>
  </r>
  <r>
    <x v="32"/>
    <x v="32"/>
    <x v="32"/>
    <x v="0"/>
    <x v="0"/>
    <x v="0"/>
    <x v="0"/>
    <x v="32"/>
    <x v="22"/>
    <x v="27"/>
    <x v="10"/>
    <x v="1"/>
    <x v="0"/>
    <x v="22"/>
  </r>
  <r>
    <x v="33"/>
    <x v="33"/>
    <x v="33"/>
    <x v="3"/>
    <x v="7"/>
    <x v="1"/>
    <x v="10"/>
    <x v="33"/>
    <x v="31"/>
    <x v="31"/>
    <x v="3"/>
    <x v="1"/>
    <x v="0"/>
    <x v="1"/>
  </r>
  <r>
    <x v="34"/>
    <x v="34"/>
    <x v="34"/>
    <x v="2"/>
    <x v="14"/>
    <x v="2"/>
    <x v="2"/>
    <x v="34"/>
    <x v="32"/>
    <x v="32"/>
    <x v="11"/>
    <x v="1"/>
    <x v="0"/>
    <x v="20"/>
  </r>
  <r>
    <x v="35"/>
    <x v="35"/>
    <x v="35"/>
    <x v="1"/>
    <x v="1"/>
    <x v="0"/>
    <x v="8"/>
    <x v="35"/>
    <x v="33"/>
    <x v="13"/>
    <x v="3"/>
    <x v="1"/>
    <x v="0"/>
    <x v="23"/>
  </r>
  <r>
    <x v="36"/>
    <x v="36"/>
    <x v="36"/>
    <x v="0"/>
    <x v="9"/>
    <x v="1"/>
    <x v="4"/>
    <x v="36"/>
    <x v="34"/>
    <x v="33"/>
    <x v="3"/>
    <x v="2"/>
    <x v="0"/>
    <x v="1"/>
  </r>
  <r>
    <x v="37"/>
    <x v="37"/>
    <x v="37"/>
    <x v="3"/>
    <x v="15"/>
    <x v="2"/>
    <x v="12"/>
    <x v="37"/>
    <x v="16"/>
    <x v="34"/>
    <x v="1"/>
    <x v="2"/>
    <x v="0"/>
    <x v="24"/>
  </r>
  <r>
    <x v="38"/>
    <x v="38"/>
    <x v="38"/>
    <x v="2"/>
    <x v="6"/>
    <x v="0"/>
    <x v="29"/>
    <x v="38"/>
    <x v="6"/>
    <x v="11"/>
    <x v="0"/>
    <x v="2"/>
    <x v="0"/>
    <x v="1"/>
  </r>
  <r>
    <x v="39"/>
    <x v="39"/>
    <x v="39"/>
    <x v="1"/>
    <x v="17"/>
    <x v="1"/>
    <x v="1"/>
    <x v="39"/>
    <x v="35"/>
    <x v="35"/>
    <x v="1"/>
    <x v="2"/>
    <x v="0"/>
    <x v="25"/>
  </r>
  <r>
    <x v="40"/>
    <x v="40"/>
    <x v="40"/>
    <x v="0"/>
    <x v="16"/>
    <x v="0"/>
    <x v="14"/>
    <x v="40"/>
    <x v="36"/>
    <x v="36"/>
    <x v="1"/>
    <x v="2"/>
    <x v="0"/>
    <x v="26"/>
  </r>
  <r>
    <x v="41"/>
    <x v="41"/>
    <x v="41"/>
    <x v="3"/>
    <x v="19"/>
    <x v="2"/>
    <x v="21"/>
    <x v="41"/>
    <x v="37"/>
    <x v="37"/>
    <x v="12"/>
    <x v="2"/>
    <x v="0"/>
    <x v="1"/>
  </r>
  <r>
    <x v="42"/>
    <x v="42"/>
    <x v="42"/>
    <x v="2"/>
    <x v="2"/>
    <x v="1"/>
    <x v="13"/>
    <x v="42"/>
    <x v="38"/>
    <x v="38"/>
    <x v="3"/>
    <x v="2"/>
    <x v="0"/>
    <x v="1"/>
  </r>
  <r>
    <x v="43"/>
    <x v="43"/>
    <x v="43"/>
    <x v="1"/>
    <x v="4"/>
    <x v="0"/>
    <x v="20"/>
    <x v="43"/>
    <x v="39"/>
    <x v="20"/>
    <x v="3"/>
    <x v="2"/>
    <x v="0"/>
    <x v="27"/>
  </r>
  <r>
    <x v="44"/>
    <x v="44"/>
    <x v="44"/>
    <x v="0"/>
    <x v="5"/>
    <x v="2"/>
    <x v="9"/>
    <x v="44"/>
    <x v="40"/>
    <x v="39"/>
    <x v="10"/>
    <x v="2"/>
    <x v="0"/>
    <x v="1"/>
  </r>
  <r>
    <x v="45"/>
    <x v="45"/>
    <x v="45"/>
    <x v="3"/>
    <x v="12"/>
    <x v="1"/>
    <x v="26"/>
    <x v="45"/>
    <x v="41"/>
    <x v="40"/>
    <x v="3"/>
    <x v="2"/>
    <x v="0"/>
    <x v="28"/>
  </r>
  <r>
    <x v="46"/>
    <x v="46"/>
    <x v="46"/>
    <x v="2"/>
    <x v="10"/>
    <x v="0"/>
    <x v="11"/>
    <x v="46"/>
    <x v="21"/>
    <x v="6"/>
    <x v="1"/>
    <x v="2"/>
    <x v="0"/>
    <x v="15"/>
  </r>
  <r>
    <x v="47"/>
    <x v="47"/>
    <x v="47"/>
    <x v="1"/>
    <x v="8"/>
    <x v="2"/>
    <x v="18"/>
    <x v="47"/>
    <x v="42"/>
    <x v="18"/>
    <x v="7"/>
    <x v="2"/>
    <x v="0"/>
    <x v="29"/>
  </r>
  <r>
    <x v="48"/>
    <x v="48"/>
    <x v="48"/>
    <x v="0"/>
    <x v="0"/>
    <x v="1"/>
    <x v="23"/>
    <x v="48"/>
    <x v="43"/>
    <x v="23"/>
    <x v="3"/>
    <x v="2"/>
    <x v="0"/>
    <x v="1"/>
  </r>
  <r>
    <x v="49"/>
    <x v="49"/>
    <x v="49"/>
    <x v="3"/>
    <x v="3"/>
    <x v="0"/>
    <x v="3"/>
    <x v="49"/>
    <x v="44"/>
    <x v="41"/>
    <x v="3"/>
    <x v="2"/>
    <x v="0"/>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7" firstHeaderRow="1" firstDataRow="1" firstDataCol="1"/>
  <pivotFields count="14">
    <pivotField showAll="0"/>
    <pivotField numFmtId="14" showAll="0"/>
    <pivotField showAll="0"/>
    <pivotField showAll="0">
      <items count="5">
        <item x="3"/>
        <item x="0"/>
        <item x="1"/>
        <item x="2"/>
        <item t="default"/>
      </items>
    </pivotField>
    <pivotField showAll="0"/>
    <pivotField showAll="0"/>
    <pivotField showAll="0"/>
    <pivotField showAll="0"/>
    <pivotField dataField="1" numFmtId="2" showAll="0"/>
    <pivotField numFmtId="2" showAll="0"/>
    <pivotField showAll="0"/>
    <pivotField axis="axisRow" showAll="0">
      <items count="4">
        <item x="0"/>
        <item x="1"/>
        <item x="2"/>
        <item t="default"/>
      </items>
    </pivotField>
    <pivotField showAll="0"/>
    <pivotField showAll="0"/>
  </pivotFields>
  <rowFields count="1">
    <field x="11"/>
  </rowFields>
  <rowItems count="4">
    <i>
      <x/>
    </i>
    <i>
      <x v="1"/>
    </i>
    <i>
      <x v="2"/>
    </i>
    <i t="grand">
      <x/>
    </i>
  </rowItems>
  <colItems count="1">
    <i/>
  </colItems>
  <dataFields count="1">
    <dataField name="Sum of Sales"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3:F7" firstHeaderRow="1" firstDataRow="1" firstDataCol="1"/>
  <pivotFields count="14">
    <pivotField showAll="0"/>
    <pivotField numFmtId="14" showAll="0"/>
    <pivotField showAll="0"/>
    <pivotField showAll="0">
      <items count="5">
        <item x="3"/>
        <item x="0"/>
        <item x="1"/>
        <item x="2"/>
        <item t="default"/>
      </items>
    </pivotField>
    <pivotField showAll="0"/>
    <pivotField axis="axisRow" showAll="0">
      <items count="4">
        <item x="1"/>
        <item x="2"/>
        <item x="0"/>
        <item t="default"/>
      </items>
    </pivotField>
    <pivotField showAll="0"/>
    <pivotField showAll="0"/>
    <pivotField dataField="1" numFmtId="2" showAll="0"/>
    <pivotField numFmtId="2" showAll="0"/>
    <pivotField showAll="0"/>
    <pivotField showAll="0"/>
    <pivotField showAll="0"/>
    <pivotField showAll="0"/>
  </pivotFields>
  <rowFields count="1">
    <field x="5"/>
  </rowFields>
  <rowItems count="4">
    <i>
      <x/>
    </i>
    <i>
      <x v="1"/>
    </i>
    <i>
      <x v="2"/>
    </i>
    <i t="grand">
      <x/>
    </i>
  </rowItems>
  <colItems count="1">
    <i/>
  </colItems>
  <dataFields count="1">
    <dataField name="Sum of 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3:R4" firstHeaderRow="0" firstDataRow="1" firstDataCol="0"/>
  <pivotFields count="14">
    <pivotField dataField="1" showAll="0"/>
    <pivotField numFmtId="14" showAll="0"/>
    <pivotField showAll="0"/>
    <pivotField showAll="0">
      <items count="5">
        <item x="3"/>
        <item x="0"/>
        <item x="1"/>
        <item x="2"/>
        <item t="default"/>
      </items>
    </pivotField>
    <pivotField showAll="0"/>
    <pivotField showAll="0">
      <items count="4">
        <item x="1"/>
        <item x="2"/>
        <item x="0"/>
        <item t="default"/>
      </items>
    </pivotField>
    <pivotField showAll="0"/>
    <pivotField showAll="0"/>
    <pivotField dataField="1" numFmtId="2" showAll="0"/>
    <pivotField dataField="1" numFmtId="2" showAll="0"/>
    <pivotField dataField="1" showAll="0"/>
    <pivotField showAll="0">
      <items count="4">
        <item x="0"/>
        <item x="1"/>
        <item x="2"/>
        <item t="default"/>
      </items>
    </pivotField>
    <pivotField showAll="0"/>
    <pivotField showAll="0"/>
  </pivotFields>
  <rowItems count="1">
    <i/>
  </rowItems>
  <colFields count="1">
    <field x="-2"/>
  </colFields>
  <colItems count="4">
    <i>
      <x/>
    </i>
    <i i="1">
      <x v="1"/>
    </i>
    <i i="2">
      <x v="2"/>
    </i>
    <i i="3">
      <x v="3"/>
    </i>
  </colItems>
  <dataFields count="4">
    <dataField name="Sum of Sales" fld="8" baseField="0" baseItem="0"/>
    <dataField name="Sum of Quantity" fld="10" baseField="0" baseItem="0"/>
    <dataField name="Sum of Profit" fld="9" baseField="0" baseItem="0"/>
    <dataField name="Count of Order ID" fld="0" subtotal="count"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H3:I26" firstHeaderRow="1" firstDataRow="1" firstDataCol="1"/>
  <pivotFields count="14">
    <pivotField showAll="0"/>
    <pivotField numFmtId="14" showAll="0"/>
    <pivotField showAll="0"/>
    <pivotField showAll="0">
      <items count="5">
        <item x="3"/>
        <item x="0"/>
        <item x="1"/>
        <item x="2"/>
        <item t="default"/>
      </items>
    </pivotField>
    <pivotField axis="axisRow" showAll="0">
      <items count="23">
        <item x="17"/>
        <item x="3"/>
        <item x="7"/>
        <item x="13"/>
        <item x="5"/>
        <item x="14"/>
        <item x="6"/>
        <item x="0"/>
        <item x="18"/>
        <item x="12"/>
        <item x="1"/>
        <item x="4"/>
        <item x="2"/>
        <item x="15"/>
        <item x="16"/>
        <item x="10"/>
        <item x="8"/>
        <item x="11"/>
        <item x="21"/>
        <item x="9"/>
        <item x="20"/>
        <item x="19"/>
        <item t="default"/>
      </items>
    </pivotField>
    <pivotField showAll="0"/>
    <pivotField showAll="0"/>
    <pivotField showAll="0"/>
    <pivotField dataField="1" numFmtId="2" showAll="0"/>
    <pivotField numFmtId="2" showAll="0"/>
    <pivotField showAll="0"/>
    <pivotField showAll="0"/>
    <pivotField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E15:F26" firstHeaderRow="1" firstDataRow="1" firstDataCol="1"/>
  <pivotFields count="14">
    <pivotField showAll="0"/>
    <pivotField numFmtId="14" showAll="0"/>
    <pivotField showAll="0"/>
    <pivotField showAll="0">
      <items count="5">
        <item x="3"/>
        <item x="0"/>
        <item x="1"/>
        <item x="2"/>
        <item t="default"/>
      </items>
    </pivotField>
    <pivotField showAll="0"/>
    <pivotField showAll="0"/>
    <pivotField showAll="0"/>
    <pivotField axis="axisRow" showAll="0" measureFilter="1">
      <items count="51">
        <item x="29"/>
        <item x="25"/>
        <item x="26"/>
        <item x="46"/>
        <item x="33"/>
        <item x="47"/>
        <item x="35"/>
        <item x="12"/>
        <item x="30"/>
        <item x="24"/>
        <item x="20"/>
        <item x="21"/>
        <item x="7"/>
        <item x="39"/>
        <item x="18"/>
        <item x="45"/>
        <item x="17"/>
        <item x="44"/>
        <item x="8"/>
        <item x="32"/>
        <item x="38"/>
        <item x="40"/>
        <item x="22"/>
        <item x="3"/>
        <item x="43"/>
        <item x="0"/>
        <item x="6"/>
        <item x="11"/>
        <item x="42"/>
        <item x="15"/>
        <item x="2"/>
        <item x="31"/>
        <item x="1"/>
        <item x="34"/>
        <item x="41"/>
        <item x="4"/>
        <item x="27"/>
        <item x="14"/>
        <item x="49"/>
        <item x="37"/>
        <item x="36"/>
        <item x="28"/>
        <item x="9"/>
        <item x="19"/>
        <item x="13"/>
        <item x="48"/>
        <item x="5"/>
        <item x="23"/>
        <item x="10"/>
        <item x="16"/>
        <item t="default"/>
      </items>
    </pivotField>
    <pivotField dataField="1" numFmtId="2" showAll="0"/>
    <pivotField numFmtId="2" showAll="0"/>
    <pivotField showAll="0"/>
    <pivotField showAll="0"/>
    <pivotField showAll="0"/>
    <pivotField showAll="0"/>
  </pivotFields>
  <rowFields count="1">
    <field x="7"/>
  </rowFields>
  <rowItems count="11">
    <i>
      <x/>
    </i>
    <i>
      <x v="10"/>
    </i>
    <i>
      <x v="12"/>
    </i>
    <i>
      <x v="15"/>
    </i>
    <i>
      <x v="23"/>
    </i>
    <i>
      <x v="35"/>
    </i>
    <i>
      <x v="36"/>
    </i>
    <i>
      <x v="38"/>
    </i>
    <i>
      <x v="40"/>
    </i>
    <i>
      <x v="43"/>
    </i>
    <i t="grand">
      <x/>
    </i>
  </rowItems>
  <colItems count="1">
    <i/>
  </colItems>
  <dataFields count="1">
    <dataField name="Sum of 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3:M7" firstHeaderRow="1" firstDataRow="1" firstDataCol="1"/>
  <pivotFields count="14">
    <pivotField showAll="0"/>
    <pivotField numFmtId="14" showAll="0"/>
    <pivotField showAll="0"/>
    <pivotField showAll="0">
      <items count="5">
        <item x="3"/>
        <item x="0"/>
        <item x="1"/>
        <item x="2"/>
        <item t="default"/>
      </items>
    </pivotField>
    <pivotField showAll="0"/>
    <pivotField axis="axisRow" showAll="0">
      <items count="4">
        <item x="1"/>
        <item x="2"/>
        <item x="0"/>
        <item t="default"/>
      </items>
    </pivotField>
    <pivotField showAll="0"/>
    <pivotField showAll="0"/>
    <pivotField numFmtId="2" showAll="0"/>
    <pivotField numFmtId="2" showAll="0"/>
    <pivotField dataField="1" showAll="0"/>
    <pivotField showAll="0"/>
    <pivotField showAll="0"/>
    <pivotField showAll="0"/>
  </pivotFields>
  <rowFields count="1">
    <field x="5"/>
  </rowFields>
  <rowItems count="4">
    <i>
      <x/>
    </i>
    <i>
      <x v="1"/>
    </i>
    <i>
      <x v="2"/>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5:B20" firstHeaderRow="1" firstDataRow="1" firstDataCol="1"/>
  <pivotFields count="14">
    <pivotField showAll="0"/>
    <pivotField numFmtId="14" showAll="0"/>
    <pivotField showAll="0"/>
    <pivotField axis="axisRow" showAll="0">
      <items count="5">
        <item x="3"/>
        <item x="0"/>
        <item x="1"/>
        <item x="2"/>
        <item t="default"/>
      </items>
    </pivotField>
    <pivotField showAll="0"/>
    <pivotField showAll="0"/>
    <pivotField showAll="0"/>
    <pivotField showAll="0"/>
    <pivotField numFmtId="2" showAll="0"/>
    <pivotField dataField="1" numFmtId="2" showAll="0"/>
    <pivotField showAll="0"/>
    <pivotField showAll="0"/>
    <pivotField showAll="0"/>
    <pivotField showAll="0"/>
  </pivotFields>
  <rowFields count="1">
    <field x="3"/>
  </rowFields>
  <rowItems count="5">
    <i>
      <x/>
    </i>
    <i>
      <x v="1"/>
    </i>
    <i>
      <x v="2"/>
    </i>
    <i>
      <x v="3"/>
    </i>
    <i t="grand">
      <x/>
    </i>
  </rowItems>
  <colItems count="1">
    <i/>
  </colItems>
  <dataFields count="1">
    <dataField name="Sum of Profit" fld="9" baseField="0" baseItem="0"/>
  </dataFields>
  <chartFormats count="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9" format="4">
      <pivotArea type="data" outline="0" fieldPosition="0">
        <references count="2">
          <reference field="4294967294" count="1" selected="0">
            <x v="0"/>
          </reference>
          <reference field="3" count="1" selected="0">
            <x v="2"/>
          </reference>
        </references>
      </pivotArea>
    </chartFormat>
    <chartFormat chart="9"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7"/>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month" cache="Slicer_month" caption="month" rowHeight="241300"/>
</slicers>
</file>

<file path=xl/tables/table1.xml><?xml version="1.0" encoding="utf-8"?>
<table xmlns="http://schemas.openxmlformats.org/spreadsheetml/2006/main" id="1" name="Table1" displayName="Table1" ref="A1:N51" totalsRowShown="0" headerRowDxfId="15" dataDxfId="14">
  <autoFilter ref="A1:N51"/>
  <sortState ref="A2:K51">
    <sortCondition ref="B1:B51"/>
  </sortState>
  <tableColumns count="14">
    <tableColumn id="1" name="Order ID" dataDxfId="13"/>
    <tableColumn id="2" name="Order Date" dataDxfId="12"/>
    <tableColumn id="3" name="Customer" dataDxfId="11"/>
    <tableColumn id="4" name="Region" dataDxfId="10"/>
    <tableColumn id="5" name="State" dataDxfId="9"/>
    <tableColumn id="6" name="Category" dataDxfId="8"/>
    <tableColumn id="7" name="Sub Category" dataDxfId="7"/>
    <tableColumn id="8" name="Product" dataDxfId="6"/>
    <tableColumn id="9" name="Sales" dataDxfId="5"/>
    <tableColumn id="10" name="Profit" dataDxfId="4"/>
    <tableColumn id="11" name="Quantity" dataDxfId="3"/>
    <tableColumn id="12" name="month" dataDxfId="2">
      <calculatedColumnFormula>TEXT(Table1[[#This Row],[Order Date]],"mmm")</calculatedColumnFormula>
    </tableColumn>
    <tableColumn id="13" name="Year" dataDxfId="1">
      <calculatedColumnFormula>YEAR(B2)</calculatedColumnFormula>
    </tableColumn>
    <tableColumn id="16" name="profit2" dataDxfId="0">
      <calculatedColumnFormula>J2/I2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zoomScale="98" zoomScaleNormal="98" workbookViewId="0">
      <pane ySplit="1" topLeftCell="A2" activePane="bottomLeft" state="frozen"/>
      <selection pane="bottomLeft" activeCell="G8" sqref="G8"/>
    </sheetView>
  </sheetViews>
  <sheetFormatPr defaultRowHeight="14.5" x14ac:dyDescent="0.35"/>
  <cols>
    <col min="1" max="1" width="10" customWidth="1"/>
    <col min="2" max="2" width="12.1796875" customWidth="1"/>
    <col min="3" max="3" width="11.54296875" customWidth="1"/>
    <col min="4" max="4" width="9.90625" customWidth="1"/>
    <col min="5" max="5" width="10.81640625" customWidth="1"/>
    <col min="6" max="6" width="12.6328125" customWidth="1"/>
    <col min="7" max="7" width="13.81640625" customWidth="1"/>
    <col min="8" max="8" width="14.6328125" customWidth="1"/>
    <col min="11" max="11" width="10.1796875" customWidth="1"/>
  </cols>
  <sheetData>
    <row r="1" spans="1:14" x14ac:dyDescent="0.35">
      <c r="A1" s="2" t="s">
        <v>0</v>
      </c>
      <c r="B1" s="3" t="s">
        <v>1</v>
      </c>
      <c r="C1" s="3" t="s">
        <v>2</v>
      </c>
      <c r="D1" s="3" t="s">
        <v>3</v>
      </c>
      <c r="E1" s="3" t="s">
        <v>4</v>
      </c>
      <c r="F1" s="3" t="s">
        <v>5</v>
      </c>
      <c r="G1" s="3" t="s">
        <v>6</v>
      </c>
      <c r="H1" s="3" t="s">
        <v>7</v>
      </c>
      <c r="I1" s="2" t="s">
        <v>8</v>
      </c>
      <c r="J1" s="2" t="s">
        <v>9</v>
      </c>
      <c r="K1" s="2" t="s">
        <v>10</v>
      </c>
      <c r="L1" s="7" t="s">
        <v>169</v>
      </c>
      <c r="M1" s="7" t="s">
        <v>170</v>
      </c>
      <c r="N1" s="7" t="s">
        <v>171</v>
      </c>
    </row>
    <row r="2" spans="1:14" x14ac:dyDescent="0.35">
      <c r="A2" s="1">
        <v>1011</v>
      </c>
      <c r="B2" s="5">
        <v>45681</v>
      </c>
      <c r="C2" s="4" t="s">
        <v>11</v>
      </c>
      <c r="D2" s="4" t="s">
        <v>12</v>
      </c>
      <c r="E2" s="4" t="s">
        <v>13</v>
      </c>
      <c r="F2" s="4" t="s">
        <v>14</v>
      </c>
      <c r="G2" s="4" t="s">
        <v>15</v>
      </c>
      <c r="H2" s="4" t="s">
        <v>16</v>
      </c>
      <c r="I2" s="6">
        <v>1200</v>
      </c>
      <c r="J2" s="6">
        <v>250</v>
      </c>
      <c r="K2" s="1">
        <v>3</v>
      </c>
      <c r="L2" s="1" t="str">
        <f>TEXT(Table1[[#This Row],[Order Date]],"mmm")</f>
        <v>Jan</v>
      </c>
      <c r="M2" s="1">
        <f t="shared" ref="M2:M33" si="0">YEAR(B2)</f>
        <v>2025</v>
      </c>
      <c r="N2" s="1">
        <f t="shared" ref="N2:N33" si="1">J2/I2</f>
        <v>0.20833333333333334</v>
      </c>
    </row>
    <row r="3" spans="1:14" x14ac:dyDescent="0.35">
      <c r="A3" s="1">
        <v>1012</v>
      </c>
      <c r="B3" s="5">
        <v>45682</v>
      </c>
      <c r="C3" s="4" t="s">
        <v>17</v>
      </c>
      <c r="D3" s="4" t="s">
        <v>18</v>
      </c>
      <c r="E3" s="4" t="s">
        <v>19</v>
      </c>
      <c r="F3" s="4" t="s">
        <v>20</v>
      </c>
      <c r="G3" s="4" t="s">
        <v>21</v>
      </c>
      <c r="H3" s="4" t="s">
        <v>22</v>
      </c>
      <c r="I3" s="6">
        <v>2500</v>
      </c>
      <c r="J3" s="6">
        <v>500</v>
      </c>
      <c r="K3" s="1">
        <v>2</v>
      </c>
      <c r="L3" s="1" t="str">
        <f>TEXT(Table1[[#This Row],[Order Date]],"mmm")</f>
        <v>Jan</v>
      </c>
      <c r="M3" s="1">
        <f t="shared" si="0"/>
        <v>2025</v>
      </c>
      <c r="N3" s="1">
        <f t="shared" si="1"/>
        <v>0.2</v>
      </c>
    </row>
    <row r="4" spans="1:14" ht="29" x14ac:dyDescent="0.35">
      <c r="A4" s="1">
        <v>1013</v>
      </c>
      <c r="B4" s="5">
        <v>45683</v>
      </c>
      <c r="C4" s="4" t="s">
        <v>23</v>
      </c>
      <c r="D4" s="4" t="s">
        <v>24</v>
      </c>
      <c r="E4" s="4" t="s">
        <v>25</v>
      </c>
      <c r="F4" s="4" t="s">
        <v>26</v>
      </c>
      <c r="G4" s="4" t="s">
        <v>27</v>
      </c>
      <c r="H4" s="4" t="s">
        <v>28</v>
      </c>
      <c r="I4" s="6">
        <v>600</v>
      </c>
      <c r="J4" s="6">
        <v>120</v>
      </c>
      <c r="K4" s="1">
        <v>8</v>
      </c>
      <c r="L4" s="1" t="str">
        <f>TEXT(Table1[[#This Row],[Order Date]],"mmm")</f>
        <v>Jan</v>
      </c>
      <c r="M4" s="1">
        <f t="shared" si="0"/>
        <v>2025</v>
      </c>
      <c r="N4" s="1">
        <f t="shared" si="1"/>
        <v>0.2</v>
      </c>
    </row>
    <row r="5" spans="1:14" x14ac:dyDescent="0.35">
      <c r="A5" s="1">
        <v>1014</v>
      </c>
      <c r="B5" s="5">
        <v>45684</v>
      </c>
      <c r="C5" s="4" t="s">
        <v>29</v>
      </c>
      <c r="D5" s="4" t="s">
        <v>30</v>
      </c>
      <c r="E5" s="4" t="s">
        <v>31</v>
      </c>
      <c r="F5" s="4" t="s">
        <v>14</v>
      </c>
      <c r="G5" s="4" t="s">
        <v>32</v>
      </c>
      <c r="H5" s="4" t="s">
        <v>33</v>
      </c>
      <c r="I5" s="6">
        <v>22000</v>
      </c>
      <c r="J5" s="6">
        <v>3500</v>
      </c>
      <c r="K5" s="1">
        <v>1</v>
      </c>
      <c r="L5" s="1" t="str">
        <f>TEXT(Table1[[#This Row],[Order Date]],"mmm")</f>
        <v>Jan</v>
      </c>
      <c r="M5" s="1">
        <f t="shared" si="0"/>
        <v>2025</v>
      </c>
      <c r="N5" s="1">
        <f t="shared" si="1"/>
        <v>0.15909090909090909</v>
      </c>
    </row>
    <row r="6" spans="1:14" x14ac:dyDescent="0.35">
      <c r="A6" s="1">
        <v>1015</v>
      </c>
      <c r="B6" s="5">
        <v>45685</v>
      </c>
      <c r="C6" s="4" t="s">
        <v>34</v>
      </c>
      <c r="D6" s="4" t="s">
        <v>18</v>
      </c>
      <c r="E6" s="4" t="s">
        <v>35</v>
      </c>
      <c r="F6" s="4" t="s">
        <v>20</v>
      </c>
      <c r="G6" s="4" t="s">
        <v>36</v>
      </c>
      <c r="H6" s="4" t="s">
        <v>37</v>
      </c>
      <c r="I6" s="6">
        <v>28000</v>
      </c>
      <c r="J6" s="6">
        <v>5500</v>
      </c>
      <c r="K6" s="1">
        <v>1</v>
      </c>
      <c r="L6" s="1" t="str">
        <f>TEXT(Table1[[#This Row],[Order Date]],"mmm")</f>
        <v>Jan</v>
      </c>
      <c r="M6" s="1">
        <f t="shared" si="0"/>
        <v>2025</v>
      </c>
      <c r="N6" s="1">
        <f t="shared" si="1"/>
        <v>0.19642857142857142</v>
      </c>
    </row>
    <row r="7" spans="1:14" ht="29" x14ac:dyDescent="0.35">
      <c r="A7" s="1">
        <v>1016</v>
      </c>
      <c r="B7" s="5">
        <v>45686</v>
      </c>
      <c r="C7" s="4" t="s">
        <v>38</v>
      </c>
      <c r="D7" s="4" t="s">
        <v>12</v>
      </c>
      <c r="E7" s="4" t="s">
        <v>39</v>
      </c>
      <c r="F7" s="4" t="s">
        <v>26</v>
      </c>
      <c r="G7" s="4" t="s">
        <v>40</v>
      </c>
      <c r="H7" s="4" t="s">
        <v>41</v>
      </c>
      <c r="I7" s="6">
        <v>900</v>
      </c>
      <c r="J7" s="6">
        <v>180</v>
      </c>
      <c r="K7" s="1">
        <v>12</v>
      </c>
      <c r="L7" s="1" t="str">
        <f>TEXT(Table1[[#This Row],[Order Date]],"mmm")</f>
        <v>Jan</v>
      </c>
      <c r="M7" s="1">
        <f t="shared" si="0"/>
        <v>2025</v>
      </c>
      <c r="N7" s="1">
        <f t="shared" si="1"/>
        <v>0.2</v>
      </c>
    </row>
    <row r="8" spans="1:14" ht="29" x14ac:dyDescent="0.35">
      <c r="A8" s="1">
        <v>1017</v>
      </c>
      <c r="B8" s="5">
        <v>45687</v>
      </c>
      <c r="C8" s="4" t="s">
        <v>42</v>
      </c>
      <c r="D8" s="4" t="s">
        <v>24</v>
      </c>
      <c r="E8" s="4" t="s">
        <v>43</v>
      </c>
      <c r="F8" s="4" t="s">
        <v>14</v>
      </c>
      <c r="G8" s="4" t="s">
        <v>44</v>
      </c>
      <c r="H8" s="4" t="s">
        <v>45</v>
      </c>
      <c r="I8" s="6">
        <v>4500</v>
      </c>
      <c r="J8" s="6">
        <v>850</v>
      </c>
      <c r="K8" s="1">
        <v>2</v>
      </c>
      <c r="L8" s="1" t="str">
        <f>TEXT(Table1[[#This Row],[Order Date]],"mmm")</f>
        <v>Jan</v>
      </c>
      <c r="M8" s="1">
        <f t="shared" si="0"/>
        <v>2025</v>
      </c>
      <c r="N8" s="1">
        <f t="shared" si="1"/>
        <v>0.18888888888888888</v>
      </c>
    </row>
    <row r="9" spans="1:14" x14ac:dyDescent="0.35">
      <c r="A9" s="1">
        <v>1018</v>
      </c>
      <c r="B9" s="5">
        <v>45688</v>
      </c>
      <c r="C9" s="4" t="s">
        <v>46</v>
      </c>
      <c r="D9" s="4" t="s">
        <v>30</v>
      </c>
      <c r="E9" s="4" t="s">
        <v>47</v>
      </c>
      <c r="F9" s="4" t="s">
        <v>20</v>
      </c>
      <c r="G9" s="4" t="s">
        <v>48</v>
      </c>
      <c r="H9" s="4" t="s">
        <v>49</v>
      </c>
      <c r="I9" s="6">
        <v>18000</v>
      </c>
      <c r="J9" s="6">
        <v>3200</v>
      </c>
      <c r="K9" s="1">
        <v>1</v>
      </c>
      <c r="L9" s="1" t="str">
        <f>TEXT(Table1[[#This Row],[Order Date]],"mmm")</f>
        <v>Jan</v>
      </c>
      <c r="M9" s="1">
        <f t="shared" si="0"/>
        <v>2025</v>
      </c>
      <c r="N9" s="1">
        <f t="shared" si="1"/>
        <v>0.17777777777777778</v>
      </c>
    </row>
    <row r="10" spans="1:14" x14ac:dyDescent="0.35">
      <c r="A10" s="1">
        <v>1019</v>
      </c>
      <c r="B10" s="5">
        <v>45689</v>
      </c>
      <c r="C10" s="4" t="s">
        <v>50</v>
      </c>
      <c r="D10" s="4" t="s">
        <v>18</v>
      </c>
      <c r="E10" s="4" t="s">
        <v>51</v>
      </c>
      <c r="F10" s="4" t="s">
        <v>14</v>
      </c>
      <c r="G10" s="4" t="s">
        <v>52</v>
      </c>
      <c r="H10" s="4" t="s">
        <v>53</v>
      </c>
      <c r="I10" s="6">
        <v>14000</v>
      </c>
      <c r="J10" s="6">
        <v>2500</v>
      </c>
      <c r="K10" s="1">
        <v>1</v>
      </c>
      <c r="L10" s="1" t="str">
        <f>TEXT(Table1[[#This Row],[Order Date]],"mmm")</f>
        <v>Feb</v>
      </c>
      <c r="M10" s="1">
        <f t="shared" si="0"/>
        <v>2025</v>
      </c>
      <c r="N10" s="1">
        <f t="shared" si="1"/>
        <v>0.17857142857142858</v>
      </c>
    </row>
    <row r="11" spans="1:14" ht="29" x14ac:dyDescent="0.35">
      <c r="A11" s="1">
        <v>1020</v>
      </c>
      <c r="B11" s="5">
        <v>45690</v>
      </c>
      <c r="C11" s="4" t="s">
        <v>54</v>
      </c>
      <c r="D11" s="4" t="s">
        <v>12</v>
      </c>
      <c r="E11" s="4" t="s">
        <v>55</v>
      </c>
      <c r="F11" s="4" t="s">
        <v>26</v>
      </c>
      <c r="G11" s="4" t="s">
        <v>56</v>
      </c>
      <c r="H11" s="4" t="s">
        <v>56</v>
      </c>
      <c r="I11" s="6">
        <v>700</v>
      </c>
      <c r="J11" s="6">
        <v>150</v>
      </c>
      <c r="K11" s="1">
        <v>5</v>
      </c>
      <c r="L11" s="1" t="str">
        <f>TEXT(Table1[[#This Row],[Order Date]],"mmm")</f>
        <v>Feb</v>
      </c>
      <c r="M11" s="1">
        <f t="shared" si="0"/>
        <v>2025</v>
      </c>
      <c r="N11" s="1">
        <f t="shared" si="1"/>
        <v>0.21428571428571427</v>
      </c>
    </row>
    <row r="12" spans="1:14" x14ac:dyDescent="0.35">
      <c r="A12" s="1">
        <v>1021</v>
      </c>
      <c r="B12" s="5">
        <v>45691</v>
      </c>
      <c r="C12" s="4" t="s">
        <v>57</v>
      </c>
      <c r="D12" s="4" t="s">
        <v>24</v>
      </c>
      <c r="E12" s="4" t="s">
        <v>58</v>
      </c>
      <c r="F12" s="4" t="s">
        <v>20</v>
      </c>
      <c r="G12" s="4" t="s">
        <v>59</v>
      </c>
      <c r="H12" s="4" t="s">
        <v>60</v>
      </c>
      <c r="I12" s="6">
        <v>9500</v>
      </c>
      <c r="J12" s="6">
        <v>1900</v>
      </c>
      <c r="K12" s="1">
        <v>1</v>
      </c>
      <c r="L12" s="1" t="str">
        <f>TEXT(Table1[[#This Row],[Order Date]],"mmm")</f>
        <v>Feb</v>
      </c>
      <c r="M12" s="1">
        <f t="shared" si="0"/>
        <v>2025</v>
      </c>
      <c r="N12" s="1">
        <f t="shared" si="1"/>
        <v>0.2</v>
      </c>
    </row>
    <row r="13" spans="1:14" x14ac:dyDescent="0.35">
      <c r="A13" s="1">
        <v>1022</v>
      </c>
      <c r="B13" s="5">
        <v>45692</v>
      </c>
      <c r="C13" s="4" t="s">
        <v>61</v>
      </c>
      <c r="D13" s="4" t="s">
        <v>18</v>
      </c>
      <c r="E13" s="4" t="s">
        <v>62</v>
      </c>
      <c r="F13" s="4" t="s">
        <v>14</v>
      </c>
      <c r="G13" s="4" t="s">
        <v>63</v>
      </c>
      <c r="H13" s="4" t="s">
        <v>64</v>
      </c>
      <c r="I13" s="6">
        <v>5500</v>
      </c>
      <c r="J13" s="6">
        <v>900</v>
      </c>
      <c r="K13" s="1">
        <v>2</v>
      </c>
      <c r="L13" s="1" t="str">
        <f>TEXT(Table1[[#This Row],[Order Date]],"mmm")</f>
        <v>Feb</v>
      </c>
      <c r="M13" s="1">
        <f t="shared" si="0"/>
        <v>2025</v>
      </c>
      <c r="N13" s="1">
        <f t="shared" si="1"/>
        <v>0.16363636363636364</v>
      </c>
    </row>
    <row r="14" spans="1:14" ht="29" x14ac:dyDescent="0.35">
      <c r="A14" s="1">
        <v>1023</v>
      </c>
      <c r="B14" s="5">
        <v>45693</v>
      </c>
      <c r="C14" s="4" t="s">
        <v>65</v>
      </c>
      <c r="D14" s="4" t="s">
        <v>30</v>
      </c>
      <c r="E14" s="4" t="s">
        <v>66</v>
      </c>
      <c r="F14" s="4" t="s">
        <v>26</v>
      </c>
      <c r="G14" s="4" t="s">
        <v>67</v>
      </c>
      <c r="H14" s="4" t="s">
        <v>68</v>
      </c>
      <c r="I14" s="6">
        <v>1400</v>
      </c>
      <c r="J14" s="6">
        <v>300</v>
      </c>
      <c r="K14" s="1">
        <v>2</v>
      </c>
      <c r="L14" s="1" t="str">
        <f>TEXT(Table1[[#This Row],[Order Date]],"mmm")</f>
        <v>Feb</v>
      </c>
      <c r="M14" s="1">
        <f t="shared" si="0"/>
        <v>2025</v>
      </c>
      <c r="N14" s="1">
        <f t="shared" si="1"/>
        <v>0.21428571428571427</v>
      </c>
    </row>
    <row r="15" spans="1:14" x14ac:dyDescent="0.35">
      <c r="A15" s="1">
        <v>1024</v>
      </c>
      <c r="B15" s="5">
        <v>45694</v>
      </c>
      <c r="C15" s="4" t="s">
        <v>69</v>
      </c>
      <c r="D15" s="4" t="s">
        <v>12</v>
      </c>
      <c r="E15" s="4" t="s">
        <v>70</v>
      </c>
      <c r="F15" s="4" t="s">
        <v>20</v>
      </c>
      <c r="G15" s="4" t="s">
        <v>71</v>
      </c>
      <c r="H15" s="4" t="s">
        <v>72</v>
      </c>
      <c r="I15" s="6">
        <v>12000</v>
      </c>
      <c r="J15" s="6">
        <v>2400</v>
      </c>
      <c r="K15" s="1">
        <v>1</v>
      </c>
      <c r="L15" s="1" t="str">
        <f>TEXT(Table1[[#This Row],[Order Date]],"mmm")</f>
        <v>Feb</v>
      </c>
      <c r="M15" s="1">
        <f t="shared" si="0"/>
        <v>2025</v>
      </c>
      <c r="N15" s="1">
        <f t="shared" si="1"/>
        <v>0.2</v>
      </c>
    </row>
    <row r="16" spans="1:14" x14ac:dyDescent="0.35">
      <c r="A16" s="1">
        <v>1025</v>
      </c>
      <c r="B16" s="5">
        <v>45695</v>
      </c>
      <c r="C16" s="4" t="s">
        <v>73</v>
      </c>
      <c r="D16" s="4" t="s">
        <v>24</v>
      </c>
      <c r="E16" s="4" t="s">
        <v>74</v>
      </c>
      <c r="F16" s="4" t="s">
        <v>14</v>
      </c>
      <c r="G16" s="4" t="s">
        <v>75</v>
      </c>
      <c r="H16" s="4" t="s">
        <v>76</v>
      </c>
      <c r="I16" s="6">
        <v>6800</v>
      </c>
      <c r="J16" s="6">
        <v>1400</v>
      </c>
      <c r="K16" s="1">
        <v>2</v>
      </c>
      <c r="L16" s="1" t="str">
        <f>TEXT(Table1[[#This Row],[Order Date]],"mmm")</f>
        <v>Feb</v>
      </c>
      <c r="M16" s="1">
        <f t="shared" si="0"/>
        <v>2025</v>
      </c>
      <c r="N16" s="1">
        <f t="shared" si="1"/>
        <v>0.20588235294117646</v>
      </c>
    </row>
    <row r="17" spans="1:14" ht="29" x14ac:dyDescent="0.35">
      <c r="A17" s="1">
        <v>1026</v>
      </c>
      <c r="B17" s="5">
        <v>45696</v>
      </c>
      <c r="C17" s="4" t="s">
        <v>77</v>
      </c>
      <c r="D17" s="4" t="s">
        <v>18</v>
      </c>
      <c r="E17" s="4" t="s">
        <v>19</v>
      </c>
      <c r="F17" s="4" t="s">
        <v>26</v>
      </c>
      <c r="G17" s="4" t="s">
        <v>78</v>
      </c>
      <c r="H17" s="4" t="s">
        <v>79</v>
      </c>
      <c r="I17" s="6">
        <v>450</v>
      </c>
      <c r="J17" s="6">
        <v>90</v>
      </c>
      <c r="K17" s="1">
        <v>20</v>
      </c>
      <c r="L17" s="1" t="str">
        <f>TEXT(Table1[[#This Row],[Order Date]],"mmm")</f>
        <v>Feb</v>
      </c>
      <c r="M17" s="1">
        <f t="shared" si="0"/>
        <v>2025</v>
      </c>
      <c r="N17" s="1">
        <f t="shared" si="1"/>
        <v>0.2</v>
      </c>
    </row>
    <row r="18" spans="1:14" x14ac:dyDescent="0.35">
      <c r="A18" s="1">
        <v>1027</v>
      </c>
      <c r="B18" s="5">
        <v>45697</v>
      </c>
      <c r="C18" s="4" t="s">
        <v>80</v>
      </c>
      <c r="D18" s="4" t="s">
        <v>30</v>
      </c>
      <c r="E18" s="4" t="s">
        <v>81</v>
      </c>
      <c r="F18" s="4" t="s">
        <v>20</v>
      </c>
      <c r="G18" s="4" t="s">
        <v>82</v>
      </c>
      <c r="H18" s="4" t="s">
        <v>83</v>
      </c>
      <c r="I18" s="6">
        <v>2200</v>
      </c>
      <c r="J18" s="6">
        <v>420</v>
      </c>
      <c r="K18" s="1">
        <v>3</v>
      </c>
      <c r="L18" s="1" t="str">
        <f>TEXT(Table1[[#This Row],[Order Date]],"mmm")</f>
        <v>Feb</v>
      </c>
      <c r="M18" s="1">
        <f t="shared" si="0"/>
        <v>2025</v>
      </c>
      <c r="N18" s="1">
        <f t="shared" si="1"/>
        <v>0.19090909090909092</v>
      </c>
    </row>
    <row r="19" spans="1:14" x14ac:dyDescent="0.35">
      <c r="A19" s="1">
        <v>1028</v>
      </c>
      <c r="B19" s="5">
        <v>45698</v>
      </c>
      <c r="C19" s="4" t="s">
        <v>84</v>
      </c>
      <c r="D19" s="4" t="s">
        <v>12</v>
      </c>
      <c r="E19" s="4" t="s">
        <v>85</v>
      </c>
      <c r="F19" s="4" t="s">
        <v>14</v>
      </c>
      <c r="G19" s="4" t="s">
        <v>86</v>
      </c>
      <c r="H19" s="4" t="s">
        <v>87</v>
      </c>
      <c r="I19" s="6">
        <v>3800</v>
      </c>
      <c r="J19" s="6">
        <v>700</v>
      </c>
      <c r="K19" s="1">
        <v>2</v>
      </c>
      <c r="L19" s="1" t="str">
        <f>TEXT(Table1[[#This Row],[Order Date]],"mmm")</f>
        <v>Feb</v>
      </c>
      <c r="M19" s="1">
        <f t="shared" si="0"/>
        <v>2025</v>
      </c>
      <c r="N19" s="1">
        <f t="shared" si="1"/>
        <v>0.18421052631578946</v>
      </c>
    </row>
    <row r="20" spans="1:14" ht="29" x14ac:dyDescent="0.35">
      <c r="A20" s="1">
        <v>1029</v>
      </c>
      <c r="B20" s="5">
        <v>45699</v>
      </c>
      <c r="C20" s="4" t="s">
        <v>88</v>
      </c>
      <c r="D20" s="4" t="s">
        <v>24</v>
      </c>
      <c r="E20" s="4" t="s">
        <v>25</v>
      </c>
      <c r="F20" s="4" t="s">
        <v>26</v>
      </c>
      <c r="G20" s="4" t="s">
        <v>89</v>
      </c>
      <c r="H20" s="4" t="s">
        <v>90</v>
      </c>
      <c r="I20" s="6">
        <v>950</v>
      </c>
      <c r="J20" s="6">
        <v>200</v>
      </c>
      <c r="K20" s="1">
        <v>5</v>
      </c>
      <c r="L20" s="1" t="str">
        <f>TEXT(Table1[[#This Row],[Order Date]],"mmm")</f>
        <v>Feb</v>
      </c>
      <c r="M20" s="1">
        <f t="shared" si="0"/>
        <v>2025</v>
      </c>
      <c r="N20" s="1">
        <f t="shared" si="1"/>
        <v>0.21052631578947367</v>
      </c>
    </row>
    <row r="21" spans="1:14" ht="29" x14ac:dyDescent="0.35">
      <c r="A21" s="1">
        <v>1030</v>
      </c>
      <c r="B21" s="5">
        <v>45700</v>
      </c>
      <c r="C21" s="4" t="s">
        <v>91</v>
      </c>
      <c r="D21" s="4" t="s">
        <v>18</v>
      </c>
      <c r="E21" s="4" t="s">
        <v>92</v>
      </c>
      <c r="F21" s="4" t="s">
        <v>20</v>
      </c>
      <c r="G21" s="4" t="s">
        <v>93</v>
      </c>
      <c r="H21" s="4" t="s">
        <v>94</v>
      </c>
      <c r="I21" s="6">
        <v>21000</v>
      </c>
      <c r="J21" s="6">
        <v>4000</v>
      </c>
      <c r="K21" s="1">
        <v>1</v>
      </c>
      <c r="L21" s="1" t="str">
        <f>TEXT(Table1[[#This Row],[Order Date]],"mmm")</f>
        <v>Feb</v>
      </c>
      <c r="M21" s="1">
        <f t="shared" si="0"/>
        <v>2025</v>
      </c>
      <c r="N21" s="1">
        <f t="shared" si="1"/>
        <v>0.19047619047619047</v>
      </c>
    </row>
    <row r="22" spans="1:14" ht="29" x14ac:dyDescent="0.35">
      <c r="A22" s="1">
        <v>1031</v>
      </c>
      <c r="B22" s="5">
        <v>45701</v>
      </c>
      <c r="C22" s="4" t="s">
        <v>95</v>
      </c>
      <c r="D22" s="4" t="s">
        <v>12</v>
      </c>
      <c r="E22" s="4" t="s">
        <v>96</v>
      </c>
      <c r="F22" s="4" t="s">
        <v>14</v>
      </c>
      <c r="G22" s="4" t="s">
        <v>97</v>
      </c>
      <c r="H22" s="4" t="s">
        <v>98</v>
      </c>
      <c r="I22" s="6">
        <v>17500</v>
      </c>
      <c r="J22" s="6">
        <v>2800</v>
      </c>
      <c r="K22" s="1">
        <v>1</v>
      </c>
      <c r="L22" s="1" t="str">
        <f>TEXT(Table1[[#This Row],[Order Date]],"mmm")</f>
        <v>Feb</v>
      </c>
      <c r="M22" s="1">
        <f t="shared" si="0"/>
        <v>2025</v>
      </c>
      <c r="N22" s="1">
        <f t="shared" si="1"/>
        <v>0.16</v>
      </c>
    </row>
    <row r="23" spans="1:14" ht="29" x14ac:dyDescent="0.35">
      <c r="A23" s="1">
        <v>1032</v>
      </c>
      <c r="B23" s="5">
        <v>45702</v>
      </c>
      <c r="C23" s="4" t="s">
        <v>99</v>
      </c>
      <c r="D23" s="4" t="s">
        <v>30</v>
      </c>
      <c r="E23" s="4" t="s">
        <v>100</v>
      </c>
      <c r="F23" s="4" t="s">
        <v>20</v>
      </c>
      <c r="G23" s="4" t="s">
        <v>21</v>
      </c>
      <c r="H23" s="4" t="s">
        <v>101</v>
      </c>
      <c r="I23" s="6">
        <v>4200</v>
      </c>
      <c r="J23" s="6">
        <v>850</v>
      </c>
      <c r="K23" s="1">
        <v>2</v>
      </c>
      <c r="L23" s="1" t="str">
        <f>TEXT(Table1[[#This Row],[Order Date]],"mmm")</f>
        <v>Feb</v>
      </c>
      <c r="M23" s="1">
        <f t="shared" si="0"/>
        <v>2025</v>
      </c>
      <c r="N23" s="1">
        <f t="shared" si="1"/>
        <v>0.20238095238095238</v>
      </c>
    </row>
    <row r="24" spans="1:14" ht="29" x14ac:dyDescent="0.35">
      <c r="A24" s="1">
        <v>1033</v>
      </c>
      <c r="B24" s="5">
        <v>45703</v>
      </c>
      <c r="C24" s="4" t="s">
        <v>102</v>
      </c>
      <c r="D24" s="4" t="s">
        <v>24</v>
      </c>
      <c r="E24" s="4" t="s">
        <v>43</v>
      </c>
      <c r="F24" s="4" t="s">
        <v>26</v>
      </c>
      <c r="G24" s="4" t="s">
        <v>103</v>
      </c>
      <c r="H24" s="4" t="s">
        <v>104</v>
      </c>
      <c r="I24" s="6">
        <v>1500</v>
      </c>
      <c r="J24" s="6">
        <v>280</v>
      </c>
      <c r="K24" s="1">
        <v>6</v>
      </c>
      <c r="L24" s="1" t="str">
        <f>TEXT(Table1[[#This Row],[Order Date]],"mmm")</f>
        <v>Feb</v>
      </c>
      <c r="M24" s="1">
        <f t="shared" si="0"/>
        <v>2025</v>
      </c>
      <c r="N24" s="1">
        <f t="shared" si="1"/>
        <v>0.18666666666666668</v>
      </c>
    </row>
    <row r="25" spans="1:14" x14ac:dyDescent="0.35">
      <c r="A25" s="1">
        <v>1034</v>
      </c>
      <c r="B25" s="5">
        <v>45704</v>
      </c>
      <c r="C25" s="4" t="s">
        <v>105</v>
      </c>
      <c r="D25" s="4" t="s">
        <v>18</v>
      </c>
      <c r="E25" s="4" t="s">
        <v>35</v>
      </c>
      <c r="F25" s="4" t="s">
        <v>14</v>
      </c>
      <c r="G25" s="4" t="s">
        <v>106</v>
      </c>
      <c r="H25" s="4" t="s">
        <v>107</v>
      </c>
      <c r="I25" s="6">
        <v>3200</v>
      </c>
      <c r="J25" s="6">
        <v>650</v>
      </c>
      <c r="K25" s="1">
        <v>2</v>
      </c>
      <c r="L25" s="1" t="str">
        <f>TEXT(Table1[[#This Row],[Order Date]],"mmm")</f>
        <v>Feb</v>
      </c>
      <c r="M25" s="1">
        <f t="shared" si="0"/>
        <v>2025</v>
      </c>
      <c r="N25" s="1">
        <f t="shared" si="1"/>
        <v>0.203125</v>
      </c>
    </row>
    <row r="26" spans="1:14" ht="29" x14ac:dyDescent="0.35">
      <c r="A26" s="1">
        <v>1035</v>
      </c>
      <c r="B26" s="5">
        <v>45705</v>
      </c>
      <c r="C26" s="4" t="s">
        <v>108</v>
      </c>
      <c r="D26" s="4" t="s">
        <v>12</v>
      </c>
      <c r="E26" s="4" t="s">
        <v>109</v>
      </c>
      <c r="F26" s="4" t="s">
        <v>20</v>
      </c>
      <c r="G26" s="4" t="s">
        <v>110</v>
      </c>
      <c r="H26" s="4" t="s">
        <v>111</v>
      </c>
      <c r="I26" s="6">
        <v>9500</v>
      </c>
      <c r="J26" s="6">
        <v>1700</v>
      </c>
      <c r="K26" s="1">
        <v>1</v>
      </c>
      <c r="L26" s="1" t="str">
        <f>TEXT(Table1[[#This Row],[Order Date]],"mmm")</f>
        <v>Feb</v>
      </c>
      <c r="M26" s="1">
        <f t="shared" si="0"/>
        <v>2025</v>
      </c>
      <c r="N26" s="1">
        <f t="shared" si="1"/>
        <v>0.17894736842105263</v>
      </c>
    </row>
    <row r="27" spans="1:14" ht="29" x14ac:dyDescent="0.35">
      <c r="A27" s="1">
        <v>1036</v>
      </c>
      <c r="B27" s="5">
        <v>45706</v>
      </c>
      <c r="C27" s="4" t="s">
        <v>112</v>
      </c>
      <c r="D27" s="4" t="s">
        <v>30</v>
      </c>
      <c r="E27" s="4" t="s">
        <v>113</v>
      </c>
      <c r="F27" s="4" t="s">
        <v>26</v>
      </c>
      <c r="G27" s="4" t="s">
        <v>114</v>
      </c>
      <c r="H27" s="4" t="s">
        <v>115</v>
      </c>
      <c r="I27" s="6">
        <v>750</v>
      </c>
      <c r="J27" s="6">
        <v>140</v>
      </c>
      <c r="K27" s="1">
        <v>15</v>
      </c>
      <c r="L27" s="1" t="str">
        <f>TEXT(Table1[[#This Row],[Order Date]],"mmm")</f>
        <v>Feb</v>
      </c>
      <c r="M27" s="1">
        <f t="shared" si="0"/>
        <v>2025</v>
      </c>
      <c r="N27" s="1">
        <f t="shared" si="1"/>
        <v>0.18666666666666668</v>
      </c>
    </row>
    <row r="28" spans="1:14" ht="29" x14ac:dyDescent="0.35">
      <c r="A28" s="1">
        <v>1037</v>
      </c>
      <c r="B28" s="5">
        <v>45707</v>
      </c>
      <c r="C28" s="4" t="s">
        <v>116</v>
      </c>
      <c r="D28" s="4" t="s">
        <v>24</v>
      </c>
      <c r="E28" s="4" t="s">
        <v>25</v>
      </c>
      <c r="F28" s="4" t="s">
        <v>14</v>
      </c>
      <c r="G28" s="4" t="s">
        <v>117</v>
      </c>
      <c r="H28" s="4" t="s">
        <v>118</v>
      </c>
      <c r="I28" s="6">
        <v>4800</v>
      </c>
      <c r="J28" s="6">
        <v>950</v>
      </c>
      <c r="K28" s="1">
        <v>2</v>
      </c>
      <c r="L28" s="1" t="str">
        <f>TEXT(Table1[[#This Row],[Order Date]],"mmm")</f>
        <v>Feb</v>
      </c>
      <c r="M28" s="1">
        <f t="shared" si="0"/>
        <v>2025</v>
      </c>
      <c r="N28" s="1">
        <f t="shared" si="1"/>
        <v>0.19791666666666666</v>
      </c>
    </row>
    <row r="29" spans="1:14" x14ac:dyDescent="0.35">
      <c r="A29" s="1">
        <v>1038</v>
      </c>
      <c r="B29" s="5">
        <v>45708</v>
      </c>
      <c r="C29" s="4" t="s">
        <v>119</v>
      </c>
      <c r="D29" s="4" t="s">
        <v>18</v>
      </c>
      <c r="E29" s="4" t="s">
        <v>51</v>
      </c>
      <c r="F29" s="4" t="s">
        <v>20</v>
      </c>
      <c r="G29" s="4" t="s">
        <v>120</v>
      </c>
      <c r="H29" s="4" t="s">
        <v>121</v>
      </c>
      <c r="I29" s="6">
        <v>45000</v>
      </c>
      <c r="J29" s="6">
        <v>9000</v>
      </c>
      <c r="K29" s="1">
        <v>1</v>
      </c>
      <c r="L29" s="1" t="str">
        <f>TEXT(Table1[[#This Row],[Order Date]],"mmm")</f>
        <v>Feb</v>
      </c>
      <c r="M29" s="1">
        <f t="shared" si="0"/>
        <v>2025</v>
      </c>
      <c r="N29" s="1">
        <f t="shared" si="1"/>
        <v>0.2</v>
      </c>
    </row>
    <row r="30" spans="1:14" ht="29" x14ac:dyDescent="0.35">
      <c r="A30" s="1">
        <v>1039</v>
      </c>
      <c r="B30" s="5">
        <v>45709</v>
      </c>
      <c r="C30" s="4" t="s">
        <v>122</v>
      </c>
      <c r="D30" s="4" t="s">
        <v>12</v>
      </c>
      <c r="E30" s="4" t="s">
        <v>39</v>
      </c>
      <c r="F30" s="4" t="s">
        <v>26</v>
      </c>
      <c r="G30" s="4" t="s">
        <v>123</v>
      </c>
      <c r="H30" s="4" t="s">
        <v>124</v>
      </c>
      <c r="I30" s="6">
        <v>1700</v>
      </c>
      <c r="J30" s="6">
        <v>320</v>
      </c>
      <c r="K30" s="1">
        <v>8</v>
      </c>
      <c r="L30" s="1" t="str">
        <f>TEXT(Table1[[#This Row],[Order Date]],"mmm")</f>
        <v>Feb</v>
      </c>
      <c r="M30" s="1">
        <f t="shared" si="0"/>
        <v>2025</v>
      </c>
      <c r="N30" s="1">
        <f t="shared" si="1"/>
        <v>0.18823529411764706</v>
      </c>
    </row>
    <row r="31" spans="1:14" x14ac:dyDescent="0.35">
      <c r="A31" s="1">
        <v>1040</v>
      </c>
      <c r="B31" s="5">
        <v>45710</v>
      </c>
      <c r="C31" s="4" t="s">
        <v>125</v>
      </c>
      <c r="D31" s="4" t="s">
        <v>30</v>
      </c>
      <c r="E31" s="4" t="s">
        <v>31</v>
      </c>
      <c r="F31" s="4" t="s">
        <v>14</v>
      </c>
      <c r="G31" s="4" t="s">
        <v>126</v>
      </c>
      <c r="H31" s="4" t="s">
        <v>127</v>
      </c>
      <c r="I31" s="6">
        <v>48000</v>
      </c>
      <c r="J31" s="6">
        <v>8200</v>
      </c>
      <c r="K31" s="1">
        <v>1</v>
      </c>
      <c r="L31" s="1" t="str">
        <f>TEXT(Table1[[#This Row],[Order Date]],"mmm")</f>
        <v>Feb</v>
      </c>
      <c r="M31" s="1">
        <f t="shared" si="0"/>
        <v>2025</v>
      </c>
      <c r="N31" s="1">
        <f t="shared" si="1"/>
        <v>0.17083333333333334</v>
      </c>
    </row>
    <row r="32" spans="1:14" x14ac:dyDescent="0.35">
      <c r="A32" s="1">
        <v>1041</v>
      </c>
      <c r="B32" s="5">
        <v>45711</v>
      </c>
      <c r="C32" s="4" t="s">
        <v>128</v>
      </c>
      <c r="D32" s="4" t="s">
        <v>24</v>
      </c>
      <c r="E32" s="4" t="s">
        <v>58</v>
      </c>
      <c r="F32" s="4" t="s">
        <v>20</v>
      </c>
      <c r="G32" s="4" t="s">
        <v>48</v>
      </c>
      <c r="H32" s="4" t="s">
        <v>129</v>
      </c>
      <c r="I32" s="6">
        <v>6000</v>
      </c>
      <c r="J32" s="6">
        <v>1200</v>
      </c>
      <c r="K32" s="1">
        <v>1</v>
      </c>
      <c r="L32" s="1" t="str">
        <f>TEXT(Table1[[#This Row],[Order Date]],"mmm")</f>
        <v>Feb</v>
      </c>
      <c r="M32" s="1">
        <f t="shared" si="0"/>
        <v>2025</v>
      </c>
      <c r="N32" s="1">
        <f t="shared" si="1"/>
        <v>0.2</v>
      </c>
    </row>
    <row r="33" spans="1:14" ht="29" x14ac:dyDescent="0.35">
      <c r="A33" s="1">
        <v>1042</v>
      </c>
      <c r="B33" s="5">
        <v>45712</v>
      </c>
      <c r="C33" s="4" t="s">
        <v>130</v>
      </c>
      <c r="D33" s="4" t="s">
        <v>18</v>
      </c>
      <c r="E33" s="4" t="s">
        <v>62</v>
      </c>
      <c r="F33" s="4" t="s">
        <v>26</v>
      </c>
      <c r="G33" s="4" t="s">
        <v>40</v>
      </c>
      <c r="H33" s="4" t="s">
        <v>131</v>
      </c>
      <c r="I33" s="6">
        <v>650</v>
      </c>
      <c r="J33" s="6">
        <v>130</v>
      </c>
      <c r="K33" s="1">
        <v>10</v>
      </c>
      <c r="L33" s="1" t="str">
        <f>TEXT(Table1[[#This Row],[Order Date]],"mmm")</f>
        <v>Feb</v>
      </c>
      <c r="M33" s="1">
        <f t="shared" si="0"/>
        <v>2025</v>
      </c>
      <c r="N33" s="1">
        <f t="shared" si="1"/>
        <v>0.2</v>
      </c>
    </row>
    <row r="34" spans="1:14" ht="29" x14ac:dyDescent="0.35">
      <c r="A34" s="1">
        <v>1043</v>
      </c>
      <c r="B34" s="5">
        <v>45713</v>
      </c>
      <c r="C34" s="4" t="s">
        <v>132</v>
      </c>
      <c r="D34" s="4" t="s">
        <v>12</v>
      </c>
      <c r="E34" s="4" t="s">
        <v>13</v>
      </c>
      <c r="F34" s="4" t="s">
        <v>14</v>
      </c>
      <c r="G34" s="4" t="s">
        <v>15</v>
      </c>
      <c r="H34" s="4" t="s">
        <v>133</v>
      </c>
      <c r="I34" s="6">
        <v>1500</v>
      </c>
      <c r="J34" s="6">
        <v>320</v>
      </c>
      <c r="K34" s="1">
        <v>4</v>
      </c>
      <c r="L34" s="1" t="str">
        <f>TEXT(Table1[[#This Row],[Order Date]],"mmm")</f>
        <v>Feb</v>
      </c>
      <c r="M34" s="1">
        <f t="shared" ref="M34:M51" si="2">YEAR(B34)</f>
        <v>2025</v>
      </c>
      <c r="N34" s="1">
        <f t="shared" ref="N34:N51" si="3">J34/I34</f>
        <v>0.21333333333333335</v>
      </c>
    </row>
    <row r="35" spans="1:14" x14ac:dyDescent="0.35">
      <c r="A35" s="1">
        <v>1044</v>
      </c>
      <c r="B35" s="5">
        <v>45714</v>
      </c>
      <c r="C35" s="4" t="s">
        <v>134</v>
      </c>
      <c r="D35" s="4" t="s">
        <v>30</v>
      </c>
      <c r="E35" s="4" t="s">
        <v>47</v>
      </c>
      <c r="F35" s="4" t="s">
        <v>20</v>
      </c>
      <c r="G35" s="4" t="s">
        <v>59</v>
      </c>
      <c r="H35" s="4" t="s">
        <v>135</v>
      </c>
      <c r="I35" s="6">
        <v>10500</v>
      </c>
      <c r="J35" s="6">
        <v>2100</v>
      </c>
      <c r="K35" s="1">
        <v>1</v>
      </c>
      <c r="L35" s="1" t="str">
        <f>TEXT(Table1[[#This Row],[Order Date]],"mmm")</f>
        <v>Feb</v>
      </c>
      <c r="M35" s="1">
        <f t="shared" si="2"/>
        <v>2025</v>
      </c>
      <c r="N35" s="1">
        <f t="shared" si="3"/>
        <v>0.2</v>
      </c>
    </row>
    <row r="36" spans="1:14" ht="29" x14ac:dyDescent="0.35">
      <c r="A36" s="1">
        <v>1045</v>
      </c>
      <c r="B36" s="5">
        <v>45715</v>
      </c>
      <c r="C36" s="4" t="s">
        <v>136</v>
      </c>
      <c r="D36" s="4" t="s">
        <v>24</v>
      </c>
      <c r="E36" s="4" t="s">
        <v>74</v>
      </c>
      <c r="F36" s="4" t="s">
        <v>26</v>
      </c>
      <c r="G36" s="4" t="s">
        <v>27</v>
      </c>
      <c r="H36" s="4" t="s">
        <v>137</v>
      </c>
      <c r="I36" s="6">
        <v>850</v>
      </c>
      <c r="J36" s="6">
        <v>160</v>
      </c>
      <c r="K36" s="1">
        <v>9</v>
      </c>
      <c r="L36" s="1" t="str">
        <f>TEXT(Table1[[#This Row],[Order Date]],"mmm")</f>
        <v>Feb</v>
      </c>
      <c r="M36" s="1">
        <f t="shared" si="2"/>
        <v>2025</v>
      </c>
      <c r="N36" s="1">
        <f t="shared" si="3"/>
        <v>0.18823529411764706</v>
      </c>
    </row>
    <row r="37" spans="1:14" x14ac:dyDescent="0.35">
      <c r="A37" s="1">
        <v>1046</v>
      </c>
      <c r="B37" s="5">
        <v>45716</v>
      </c>
      <c r="C37" s="4" t="s">
        <v>138</v>
      </c>
      <c r="D37" s="4" t="s">
        <v>18</v>
      </c>
      <c r="E37" s="4" t="s">
        <v>19</v>
      </c>
      <c r="F37" s="4" t="s">
        <v>14</v>
      </c>
      <c r="G37" s="4" t="s">
        <v>52</v>
      </c>
      <c r="H37" s="4" t="s">
        <v>139</v>
      </c>
      <c r="I37" s="6">
        <v>12500</v>
      </c>
      <c r="J37" s="6">
        <v>2400</v>
      </c>
      <c r="K37" s="1">
        <v>1</v>
      </c>
      <c r="L37" s="1" t="str">
        <f>TEXT(Table1[[#This Row],[Order Date]],"mmm")</f>
        <v>Feb</v>
      </c>
      <c r="M37" s="1">
        <f t="shared" si="2"/>
        <v>2025</v>
      </c>
      <c r="N37" s="1">
        <f t="shared" si="3"/>
        <v>0.192</v>
      </c>
    </row>
    <row r="38" spans="1:14" ht="29" x14ac:dyDescent="0.35">
      <c r="A38" s="1">
        <v>1047</v>
      </c>
      <c r="B38" s="5">
        <v>45717</v>
      </c>
      <c r="C38" s="4" t="s">
        <v>140</v>
      </c>
      <c r="D38" s="4" t="s">
        <v>12</v>
      </c>
      <c r="E38" s="4" t="s">
        <v>55</v>
      </c>
      <c r="F38" s="4" t="s">
        <v>20</v>
      </c>
      <c r="G38" s="4" t="s">
        <v>36</v>
      </c>
      <c r="H38" s="4" t="s">
        <v>141</v>
      </c>
      <c r="I38" s="6">
        <v>17000</v>
      </c>
      <c r="J38" s="6">
        <v>3400</v>
      </c>
      <c r="K38" s="1">
        <v>1</v>
      </c>
      <c r="L38" s="1" t="str">
        <f>TEXT(Table1[[#This Row],[Order Date]],"mmm")</f>
        <v>Mar</v>
      </c>
      <c r="M38" s="1">
        <f t="shared" si="2"/>
        <v>2025</v>
      </c>
      <c r="N38" s="1">
        <f t="shared" si="3"/>
        <v>0.2</v>
      </c>
    </row>
    <row r="39" spans="1:14" ht="29" x14ac:dyDescent="0.35">
      <c r="A39" s="1">
        <v>1048</v>
      </c>
      <c r="B39" s="5">
        <v>45718</v>
      </c>
      <c r="C39" s="4" t="s">
        <v>142</v>
      </c>
      <c r="D39" s="4" t="s">
        <v>30</v>
      </c>
      <c r="E39" s="4" t="s">
        <v>81</v>
      </c>
      <c r="F39" s="4" t="s">
        <v>26</v>
      </c>
      <c r="G39" s="4" t="s">
        <v>67</v>
      </c>
      <c r="H39" s="4" t="s">
        <v>143</v>
      </c>
      <c r="I39" s="6">
        <v>2200</v>
      </c>
      <c r="J39" s="6">
        <v>450</v>
      </c>
      <c r="K39" s="1">
        <v>2</v>
      </c>
      <c r="L39" s="1" t="str">
        <f>TEXT(Table1[[#This Row],[Order Date]],"mmm")</f>
        <v>Mar</v>
      </c>
      <c r="M39" s="1">
        <f t="shared" si="2"/>
        <v>2025</v>
      </c>
      <c r="N39" s="1">
        <f t="shared" si="3"/>
        <v>0.20454545454545456</v>
      </c>
    </row>
    <row r="40" spans="1:14" x14ac:dyDescent="0.35">
      <c r="A40" s="1">
        <v>1049</v>
      </c>
      <c r="B40" s="5">
        <v>45719</v>
      </c>
      <c r="C40" s="4" t="s">
        <v>144</v>
      </c>
      <c r="D40" s="4" t="s">
        <v>24</v>
      </c>
      <c r="E40" s="4" t="s">
        <v>43</v>
      </c>
      <c r="F40" s="4" t="s">
        <v>14</v>
      </c>
      <c r="G40" s="4" t="s">
        <v>145</v>
      </c>
      <c r="H40" s="4" t="s">
        <v>146</v>
      </c>
      <c r="I40" s="6">
        <v>4500</v>
      </c>
      <c r="J40" s="6">
        <v>900</v>
      </c>
      <c r="K40" s="1">
        <v>3</v>
      </c>
      <c r="L40" s="1" t="str">
        <f>TEXT(Table1[[#This Row],[Order Date]],"mmm")</f>
        <v>Mar</v>
      </c>
      <c r="M40" s="1">
        <f t="shared" si="2"/>
        <v>2025</v>
      </c>
      <c r="N40" s="1">
        <f t="shared" si="3"/>
        <v>0.2</v>
      </c>
    </row>
    <row r="41" spans="1:14" ht="29" x14ac:dyDescent="0.35">
      <c r="A41" s="1">
        <v>1050</v>
      </c>
      <c r="B41" s="5">
        <v>45720</v>
      </c>
      <c r="C41" s="4" t="s">
        <v>147</v>
      </c>
      <c r="D41" s="4" t="s">
        <v>18</v>
      </c>
      <c r="E41" s="4" t="s">
        <v>92</v>
      </c>
      <c r="F41" s="4" t="s">
        <v>20</v>
      </c>
      <c r="G41" s="4" t="s">
        <v>21</v>
      </c>
      <c r="H41" s="4" t="s">
        <v>148</v>
      </c>
      <c r="I41" s="6">
        <v>8900</v>
      </c>
      <c r="J41" s="6">
        <v>1800</v>
      </c>
      <c r="K41" s="1">
        <v>2</v>
      </c>
      <c r="L41" s="1" t="str">
        <f>TEXT(Table1[[#This Row],[Order Date]],"mmm")</f>
        <v>Mar</v>
      </c>
      <c r="M41" s="1">
        <f t="shared" si="2"/>
        <v>2025</v>
      </c>
      <c r="N41" s="1">
        <f t="shared" si="3"/>
        <v>0.20224719101123595</v>
      </c>
    </row>
    <row r="42" spans="1:14" x14ac:dyDescent="0.35">
      <c r="A42" s="1">
        <v>1051</v>
      </c>
      <c r="B42" s="5">
        <v>45721</v>
      </c>
      <c r="C42" s="4" t="s">
        <v>149</v>
      </c>
      <c r="D42" s="4" t="s">
        <v>12</v>
      </c>
      <c r="E42" s="4" t="s">
        <v>85</v>
      </c>
      <c r="F42" s="4" t="s">
        <v>14</v>
      </c>
      <c r="G42" s="4" t="s">
        <v>75</v>
      </c>
      <c r="H42" s="4" t="s">
        <v>150</v>
      </c>
      <c r="I42" s="6">
        <v>7200</v>
      </c>
      <c r="J42" s="6">
        <v>1450</v>
      </c>
      <c r="K42" s="1">
        <v>2</v>
      </c>
      <c r="L42" s="1" t="str">
        <f>TEXT(Table1[[#This Row],[Order Date]],"mmm")</f>
        <v>Mar</v>
      </c>
      <c r="M42" s="1">
        <f t="shared" si="2"/>
        <v>2025</v>
      </c>
      <c r="N42" s="1">
        <f t="shared" si="3"/>
        <v>0.2013888888888889</v>
      </c>
    </row>
    <row r="43" spans="1:14" ht="29" x14ac:dyDescent="0.35">
      <c r="A43" s="1">
        <v>1052</v>
      </c>
      <c r="B43" s="5">
        <v>45722</v>
      </c>
      <c r="C43" s="4" t="s">
        <v>151</v>
      </c>
      <c r="D43" s="4" t="s">
        <v>30</v>
      </c>
      <c r="E43" s="4" t="s">
        <v>100</v>
      </c>
      <c r="F43" s="4" t="s">
        <v>26</v>
      </c>
      <c r="G43" s="4" t="s">
        <v>103</v>
      </c>
      <c r="H43" s="4" t="s">
        <v>152</v>
      </c>
      <c r="I43" s="6">
        <v>1800</v>
      </c>
      <c r="J43" s="6">
        <v>360</v>
      </c>
      <c r="K43" s="1">
        <v>7</v>
      </c>
      <c r="L43" s="1" t="str">
        <f>TEXT(Table1[[#This Row],[Order Date]],"mmm")</f>
        <v>Mar</v>
      </c>
      <c r="M43" s="1">
        <f t="shared" si="2"/>
        <v>2025</v>
      </c>
      <c r="N43" s="1">
        <f t="shared" si="3"/>
        <v>0.2</v>
      </c>
    </row>
    <row r="44" spans="1:14" ht="29" x14ac:dyDescent="0.35">
      <c r="A44" s="1">
        <v>1053</v>
      </c>
      <c r="B44" s="5">
        <v>45723</v>
      </c>
      <c r="C44" s="4" t="s">
        <v>153</v>
      </c>
      <c r="D44" s="4" t="s">
        <v>24</v>
      </c>
      <c r="E44" s="4" t="s">
        <v>25</v>
      </c>
      <c r="F44" s="4" t="s">
        <v>20</v>
      </c>
      <c r="G44" s="4" t="s">
        <v>71</v>
      </c>
      <c r="H44" s="4" t="s">
        <v>154</v>
      </c>
      <c r="I44" s="6">
        <v>14500</v>
      </c>
      <c r="J44" s="6">
        <v>2900</v>
      </c>
      <c r="K44" s="1">
        <v>1</v>
      </c>
      <c r="L44" s="1" t="str">
        <f>TEXT(Table1[[#This Row],[Order Date]],"mmm")</f>
        <v>Mar</v>
      </c>
      <c r="M44" s="1">
        <f t="shared" si="2"/>
        <v>2025</v>
      </c>
      <c r="N44" s="1">
        <f t="shared" si="3"/>
        <v>0.2</v>
      </c>
    </row>
    <row r="45" spans="1:14" x14ac:dyDescent="0.35">
      <c r="A45" s="1">
        <v>1054</v>
      </c>
      <c r="B45" s="5">
        <v>45724</v>
      </c>
      <c r="C45" s="4" t="s">
        <v>155</v>
      </c>
      <c r="D45" s="4" t="s">
        <v>18</v>
      </c>
      <c r="E45" s="4" t="s">
        <v>35</v>
      </c>
      <c r="F45" s="4" t="s">
        <v>14</v>
      </c>
      <c r="G45" s="4" t="s">
        <v>97</v>
      </c>
      <c r="H45" s="4" t="s">
        <v>156</v>
      </c>
      <c r="I45" s="6">
        <v>16000</v>
      </c>
      <c r="J45" s="6">
        <v>2800</v>
      </c>
      <c r="K45" s="1">
        <v>1</v>
      </c>
      <c r="L45" s="1" t="str">
        <f>TEXT(Table1[[#This Row],[Order Date]],"mmm")</f>
        <v>Mar</v>
      </c>
      <c r="M45" s="1">
        <f t="shared" si="2"/>
        <v>2025</v>
      </c>
      <c r="N45" s="1">
        <f t="shared" si="3"/>
        <v>0.17499999999999999</v>
      </c>
    </row>
    <row r="46" spans="1:14" ht="29" x14ac:dyDescent="0.35">
      <c r="A46" s="1">
        <v>1055</v>
      </c>
      <c r="B46" s="5">
        <v>45725</v>
      </c>
      <c r="C46" s="4" t="s">
        <v>157</v>
      </c>
      <c r="D46" s="4" t="s">
        <v>12</v>
      </c>
      <c r="E46" s="4" t="s">
        <v>39</v>
      </c>
      <c r="F46" s="4" t="s">
        <v>26</v>
      </c>
      <c r="G46" s="4" t="s">
        <v>56</v>
      </c>
      <c r="H46" s="4" t="s">
        <v>158</v>
      </c>
      <c r="I46" s="6">
        <v>1100</v>
      </c>
      <c r="J46" s="6">
        <v>220</v>
      </c>
      <c r="K46" s="1">
        <v>4</v>
      </c>
      <c r="L46" s="1" t="str">
        <f>TEXT(Table1[[#This Row],[Order Date]],"mmm")</f>
        <v>Mar</v>
      </c>
      <c r="M46" s="1">
        <f t="shared" si="2"/>
        <v>2025</v>
      </c>
      <c r="N46" s="1">
        <f t="shared" si="3"/>
        <v>0.2</v>
      </c>
    </row>
    <row r="47" spans="1:14" x14ac:dyDescent="0.35">
      <c r="A47" s="1">
        <v>1056</v>
      </c>
      <c r="B47" s="5">
        <v>45726</v>
      </c>
      <c r="C47" s="4" t="s">
        <v>159</v>
      </c>
      <c r="D47" s="4" t="s">
        <v>30</v>
      </c>
      <c r="E47" s="4" t="s">
        <v>66</v>
      </c>
      <c r="F47" s="4" t="s">
        <v>20</v>
      </c>
      <c r="G47" s="4" t="s">
        <v>120</v>
      </c>
      <c r="H47" s="4" t="s">
        <v>160</v>
      </c>
      <c r="I47" s="6">
        <v>30000</v>
      </c>
      <c r="J47" s="6">
        <v>6100</v>
      </c>
      <c r="K47" s="1">
        <v>1</v>
      </c>
      <c r="L47" s="1" t="str">
        <f>TEXT(Table1[[#This Row],[Order Date]],"mmm")</f>
        <v>Mar</v>
      </c>
      <c r="M47" s="1">
        <f t="shared" si="2"/>
        <v>2025</v>
      </c>
      <c r="N47" s="1">
        <f t="shared" si="3"/>
        <v>0.20333333333333334</v>
      </c>
    </row>
    <row r="48" spans="1:14" ht="29" x14ac:dyDescent="0.35">
      <c r="A48" s="1">
        <v>1057</v>
      </c>
      <c r="B48" s="5">
        <v>45727</v>
      </c>
      <c r="C48" s="4" t="s">
        <v>161</v>
      </c>
      <c r="D48" s="4" t="s">
        <v>24</v>
      </c>
      <c r="E48" s="4" t="s">
        <v>58</v>
      </c>
      <c r="F48" s="4" t="s">
        <v>14</v>
      </c>
      <c r="G48" s="4" t="s">
        <v>63</v>
      </c>
      <c r="H48" s="4" t="s">
        <v>162</v>
      </c>
      <c r="I48" s="6">
        <v>4200</v>
      </c>
      <c r="J48" s="6">
        <v>850</v>
      </c>
      <c r="K48" s="1">
        <v>2</v>
      </c>
      <c r="L48" s="1" t="str">
        <f>TEXT(Table1[[#This Row],[Order Date]],"mmm")</f>
        <v>Mar</v>
      </c>
      <c r="M48" s="1">
        <f t="shared" si="2"/>
        <v>2025</v>
      </c>
      <c r="N48" s="1">
        <f t="shared" si="3"/>
        <v>0.20238095238095238</v>
      </c>
    </row>
    <row r="49" spans="1:14" ht="29" x14ac:dyDescent="0.35">
      <c r="A49" s="1">
        <v>1058</v>
      </c>
      <c r="B49" s="5">
        <v>45728</v>
      </c>
      <c r="C49" s="4" t="s">
        <v>163</v>
      </c>
      <c r="D49" s="4" t="s">
        <v>18</v>
      </c>
      <c r="E49" s="4" t="s">
        <v>51</v>
      </c>
      <c r="F49" s="4" t="s">
        <v>26</v>
      </c>
      <c r="G49" s="4" t="s">
        <v>89</v>
      </c>
      <c r="H49" s="4" t="s">
        <v>164</v>
      </c>
      <c r="I49" s="6">
        <v>980</v>
      </c>
      <c r="J49" s="6">
        <v>200</v>
      </c>
      <c r="K49" s="1">
        <v>6</v>
      </c>
      <c r="L49" s="1" t="str">
        <f>TEXT(Table1[[#This Row],[Order Date]],"mmm")</f>
        <v>Mar</v>
      </c>
      <c r="M49" s="1">
        <f t="shared" si="2"/>
        <v>2025</v>
      </c>
      <c r="N49" s="1">
        <f t="shared" si="3"/>
        <v>0.20408163265306123</v>
      </c>
    </row>
    <row r="50" spans="1:14" x14ac:dyDescent="0.35">
      <c r="A50" s="1">
        <v>1059</v>
      </c>
      <c r="B50" s="5">
        <v>45729</v>
      </c>
      <c r="C50" s="4" t="s">
        <v>165</v>
      </c>
      <c r="D50" s="4" t="s">
        <v>12</v>
      </c>
      <c r="E50" s="4" t="s">
        <v>13</v>
      </c>
      <c r="F50" s="4" t="s">
        <v>20</v>
      </c>
      <c r="G50" s="4" t="s">
        <v>110</v>
      </c>
      <c r="H50" s="4" t="s">
        <v>166</v>
      </c>
      <c r="I50" s="6">
        <v>8500</v>
      </c>
      <c r="J50" s="6">
        <v>1700</v>
      </c>
      <c r="K50" s="1">
        <v>1</v>
      </c>
      <c r="L50" s="1" t="str">
        <f>TEXT(Table1[[#This Row],[Order Date]],"mmm")</f>
        <v>Mar</v>
      </c>
      <c r="M50" s="1">
        <f t="shared" si="2"/>
        <v>2025</v>
      </c>
      <c r="N50" s="1">
        <f t="shared" si="3"/>
        <v>0.2</v>
      </c>
    </row>
    <row r="51" spans="1:14" x14ac:dyDescent="0.35">
      <c r="A51" s="1">
        <v>1060</v>
      </c>
      <c r="B51" s="5">
        <v>45730</v>
      </c>
      <c r="C51" s="4" t="s">
        <v>167</v>
      </c>
      <c r="D51" s="4" t="s">
        <v>30</v>
      </c>
      <c r="E51" s="4" t="s">
        <v>31</v>
      </c>
      <c r="F51" s="4" t="s">
        <v>14</v>
      </c>
      <c r="G51" s="4" t="s">
        <v>32</v>
      </c>
      <c r="H51" s="4" t="s">
        <v>168</v>
      </c>
      <c r="I51" s="6">
        <v>26000</v>
      </c>
      <c r="J51" s="6">
        <v>4300</v>
      </c>
      <c r="K51" s="1">
        <v>1</v>
      </c>
      <c r="L51" s="1" t="str">
        <f>TEXT(Table1[[#This Row],[Order Date]],"mmm")</f>
        <v>Mar</v>
      </c>
      <c r="M51" s="1">
        <f t="shared" si="2"/>
        <v>2025</v>
      </c>
      <c r="N51" s="1">
        <f t="shared" si="3"/>
        <v>0.16538461538461538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zoomScale="59" zoomScaleNormal="59" workbookViewId="0">
      <selection activeCell="B5" sqref="B5:C5"/>
    </sheetView>
  </sheetViews>
  <sheetFormatPr defaultRowHeight="14.5" x14ac:dyDescent="0.35"/>
  <cols>
    <col min="1" max="1" width="9.90625" customWidth="1"/>
    <col min="2" max="2" width="10.6328125" customWidth="1"/>
    <col min="3" max="3" width="10.453125" customWidth="1"/>
    <col min="6" max="6" width="9" bestFit="1" customWidth="1"/>
    <col min="7" max="7" width="8.7265625" style="12"/>
  </cols>
  <sheetData>
    <row r="1" spans="1:17" ht="28.5" x14ac:dyDescent="0.65">
      <c r="A1" s="19" t="s">
        <v>186</v>
      </c>
      <c r="B1" s="19"/>
      <c r="C1" s="19"/>
      <c r="D1" s="19"/>
      <c r="E1" s="19"/>
      <c r="F1" s="19"/>
      <c r="G1" s="19"/>
      <c r="H1" s="19"/>
      <c r="I1" s="19"/>
      <c r="J1" s="19"/>
      <c r="K1" s="19"/>
      <c r="L1" s="19"/>
      <c r="M1" s="19"/>
      <c r="N1" s="19"/>
      <c r="O1" s="19"/>
      <c r="P1" s="19"/>
      <c r="Q1" s="19"/>
    </row>
    <row r="3" spans="1:17" x14ac:dyDescent="0.35">
      <c r="C3" s="14"/>
      <c r="D3" s="12"/>
      <c r="G3"/>
    </row>
    <row r="4" spans="1:17" ht="33.5" customHeight="1" x14ac:dyDescent="0.35">
      <c r="B4" s="15" t="s">
        <v>185</v>
      </c>
      <c r="C4" s="16"/>
      <c r="D4" s="12"/>
      <c r="E4" s="15" t="s">
        <v>181</v>
      </c>
      <c r="F4" s="16"/>
      <c r="G4"/>
      <c r="H4" s="15" t="s">
        <v>182</v>
      </c>
      <c r="I4" s="16"/>
      <c r="K4" s="15" t="s">
        <v>183</v>
      </c>
      <c r="L4" s="16"/>
      <c r="N4" s="15" t="s">
        <v>184</v>
      </c>
      <c r="O4" s="16"/>
    </row>
    <row r="5" spans="1:17" ht="31" customHeight="1" x14ac:dyDescent="0.7">
      <c r="B5" s="20">
        <f>pivot!O4</f>
        <v>467030</v>
      </c>
      <c r="C5" s="21"/>
      <c r="D5" s="12"/>
      <c r="E5" s="17">
        <f>pivot!P4</f>
        <v>174</v>
      </c>
      <c r="F5" s="18"/>
      <c r="G5"/>
      <c r="H5" s="20">
        <f>pivot!Q4</f>
        <v>87690</v>
      </c>
      <c r="I5" s="21"/>
      <c r="K5" s="17">
        <f>pivot!R4</f>
        <v>50</v>
      </c>
      <c r="L5" s="18"/>
      <c r="N5" s="22">
        <f>pivot!S4</f>
        <v>0.18776095754020083</v>
      </c>
      <c r="O5" s="18"/>
    </row>
    <row r="6" spans="1:17" ht="14.5" customHeight="1" x14ac:dyDescent="0.35">
      <c r="D6" s="12"/>
      <c r="G6"/>
    </row>
    <row r="7" spans="1:17" ht="14.5" customHeight="1" x14ac:dyDescent="0.35"/>
    <row r="8" spans="1:17" ht="14.5" customHeight="1" x14ac:dyDescent="0.35"/>
    <row r="9" spans="1:17" x14ac:dyDescent="0.35">
      <c r="I9" s="11"/>
    </row>
    <row r="17" ht="14.5" customHeight="1" x14ac:dyDescent="0.35"/>
    <row r="18" ht="14.5" customHeight="1" x14ac:dyDescent="0.35"/>
    <row r="34" ht="14.5" customHeight="1" x14ac:dyDescent="0.35"/>
    <row r="35" ht="14.5" customHeight="1" x14ac:dyDescent="0.35"/>
  </sheetData>
  <mergeCells count="11">
    <mergeCell ref="B4:C4"/>
    <mergeCell ref="B5:C5"/>
    <mergeCell ref="E4:F4"/>
    <mergeCell ref="E5:F5"/>
    <mergeCell ref="H4:I4"/>
    <mergeCell ref="H5:I5"/>
    <mergeCell ref="K4:L4"/>
    <mergeCell ref="K5:L5"/>
    <mergeCell ref="N4:O4"/>
    <mergeCell ref="N5:O5"/>
    <mergeCell ref="A1:Q1"/>
  </mergeCells>
  <pageMargins left="0.7" right="0.7" top="0.75" bottom="0.75" header="0.3" footer="0.3"/>
  <pageSetup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6"/>
  <sheetViews>
    <sheetView tabSelected="1" workbookViewId="0">
      <selection activeCell="F18" sqref="F18"/>
    </sheetView>
  </sheetViews>
  <sheetFormatPr defaultRowHeight="14.5" x14ac:dyDescent="0.35"/>
  <cols>
    <col min="1" max="1" width="12.36328125" bestFit="1" customWidth="1"/>
    <col min="2" max="2" width="11.81640625" customWidth="1"/>
    <col min="5" max="5" width="14" customWidth="1"/>
    <col min="6" max="6" width="11.26953125" bestFit="1" customWidth="1"/>
    <col min="8" max="8" width="15.81640625" customWidth="1"/>
    <col min="9" max="9" width="11.26953125" bestFit="1" customWidth="1"/>
    <col min="12" max="12" width="13.1796875" bestFit="1" customWidth="1"/>
    <col min="13" max="13" width="14.54296875" bestFit="1" customWidth="1"/>
    <col min="15" max="15" width="11.26953125" bestFit="1" customWidth="1"/>
    <col min="16" max="16" width="14.54296875" customWidth="1"/>
    <col min="17" max="17" width="11.81640625" customWidth="1"/>
    <col min="18" max="18" width="15.81640625" bestFit="1" customWidth="1"/>
  </cols>
  <sheetData>
    <row r="3" spans="1:19" x14ac:dyDescent="0.35">
      <c r="A3" s="8" t="s">
        <v>172</v>
      </c>
      <c r="B3" t="s">
        <v>177</v>
      </c>
      <c r="E3" s="8" t="s">
        <v>172</v>
      </c>
      <c r="F3" t="s">
        <v>177</v>
      </c>
      <c r="H3" s="8" t="s">
        <v>172</v>
      </c>
      <c r="I3" t="s">
        <v>177</v>
      </c>
      <c r="L3" s="8" t="s">
        <v>172</v>
      </c>
      <c r="M3" t="s">
        <v>179</v>
      </c>
      <c r="O3" t="s">
        <v>177</v>
      </c>
      <c r="P3" t="s">
        <v>179</v>
      </c>
      <c r="Q3" t="s">
        <v>178</v>
      </c>
      <c r="R3" t="s">
        <v>180</v>
      </c>
    </row>
    <row r="4" spans="1:19" x14ac:dyDescent="0.35">
      <c r="A4" s="9" t="s">
        <v>173</v>
      </c>
      <c r="B4" s="10">
        <v>77700</v>
      </c>
      <c r="E4" s="9" t="s">
        <v>20</v>
      </c>
      <c r="F4" s="10">
        <v>247300</v>
      </c>
      <c r="H4" s="9" t="s">
        <v>92</v>
      </c>
      <c r="I4" s="10">
        <v>29900</v>
      </c>
      <c r="L4" s="9" t="s">
        <v>20</v>
      </c>
      <c r="M4" s="10">
        <v>22</v>
      </c>
      <c r="O4" s="10">
        <v>467030</v>
      </c>
      <c r="P4" s="10">
        <v>174</v>
      </c>
      <c r="Q4" s="10">
        <v>87690</v>
      </c>
      <c r="R4" s="10">
        <v>50</v>
      </c>
      <c r="S4" s="13">
        <f>Q4/O4</f>
        <v>0.18776095754020083</v>
      </c>
    </row>
    <row r="5" spans="1:19" x14ac:dyDescent="0.35">
      <c r="A5" s="9" t="s">
        <v>174</v>
      </c>
      <c r="B5" s="10">
        <v>246450</v>
      </c>
      <c r="E5" s="9" t="s">
        <v>26</v>
      </c>
      <c r="F5" s="10">
        <v>16530</v>
      </c>
      <c r="H5" s="9" t="s">
        <v>31</v>
      </c>
      <c r="I5" s="10">
        <v>96000</v>
      </c>
      <c r="L5" s="9" t="s">
        <v>26</v>
      </c>
      <c r="M5" s="10">
        <v>119</v>
      </c>
    </row>
    <row r="6" spans="1:19" x14ac:dyDescent="0.35">
      <c r="A6" s="9" t="s">
        <v>175</v>
      </c>
      <c r="B6" s="10">
        <v>142880</v>
      </c>
      <c r="E6" s="9" t="s">
        <v>14</v>
      </c>
      <c r="F6" s="10">
        <v>203200</v>
      </c>
      <c r="H6" s="9" t="s">
        <v>47</v>
      </c>
      <c r="I6" s="10">
        <v>28500</v>
      </c>
      <c r="L6" s="9" t="s">
        <v>14</v>
      </c>
      <c r="M6" s="10">
        <v>33</v>
      </c>
    </row>
    <row r="7" spans="1:19" x14ac:dyDescent="0.35">
      <c r="A7" s="9" t="s">
        <v>176</v>
      </c>
      <c r="B7" s="10">
        <v>467030</v>
      </c>
      <c r="E7" s="9" t="s">
        <v>176</v>
      </c>
      <c r="F7" s="10">
        <v>467030</v>
      </c>
      <c r="H7" s="9" t="s">
        <v>70</v>
      </c>
      <c r="I7" s="10">
        <v>12000</v>
      </c>
      <c r="L7" s="9" t="s">
        <v>176</v>
      </c>
      <c r="M7" s="10">
        <v>174</v>
      </c>
    </row>
    <row r="8" spans="1:19" x14ac:dyDescent="0.35">
      <c r="H8" s="9" t="s">
        <v>39</v>
      </c>
      <c r="I8" s="10">
        <v>3700</v>
      </c>
    </row>
    <row r="9" spans="1:19" x14ac:dyDescent="0.35">
      <c r="H9" s="9" t="s">
        <v>74</v>
      </c>
      <c r="I9" s="10">
        <v>7650</v>
      </c>
    </row>
    <row r="10" spans="1:19" x14ac:dyDescent="0.35">
      <c r="H10" s="9" t="s">
        <v>43</v>
      </c>
      <c r="I10" s="10">
        <v>10500</v>
      </c>
    </row>
    <row r="11" spans="1:19" x14ac:dyDescent="0.35">
      <c r="H11" s="9" t="s">
        <v>13</v>
      </c>
      <c r="I11" s="10">
        <v>11200</v>
      </c>
    </row>
    <row r="12" spans="1:19" x14ac:dyDescent="0.35">
      <c r="H12" s="9" t="s">
        <v>96</v>
      </c>
      <c r="I12" s="10">
        <v>17500</v>
      </c>
    </row>
    <row r="13" spans="1:19" x14ac:dyDescent="0.35">
      <c r="H13" s="9" t="s">
        <v>66</v>
      </c>
      <c r="I13" s="10">
        <v>31400</v>
      </c>
    </row>
    <row r="14" spans="1:19" x14ac:dyDescent="0.35">
      <c r="H14" s="9" t="s">
        <v>19</v>
      </c>
      <c r="I14" s="10">
        <v>15450</v>
      </c>
    </row>
    <row r="15" spans="1:19" x14ac:dyDescent="0.35">
      <c r="A15" s="8" t="s">
        <v>172</v>
      </c>
      <c r="B15" t="s">
        <v>178</v>
      </c>
      <c r="E15" s="8" t="s">
        <v>172</v>
      </c>
      <c r="F15" t="s">
        <v>177</v>
      </c>
      <c r="H15" s="9" t="s">
        <v>35</v>
      </c>
      <c r="I15" s="10">
        <v>47200</v>
      </c>
    </row>
    <row r="16" spans="1:19" x14ac:dyDescent="0.35">
      <c r="A16" s="9" t="s">
        <v>30</v>
      </c>
      <c r="B16" s="10">
        <v>29920</v>
      </c>
      <c r="E16" s="9" t="s">
        <v>127</v>
      </c>
      <c r="F16" s="10">
        <v>48000</v>
      </c>
      <c r="H16" s="9" t="s">
        <v>25</v>
      </c>
      <c r="I16" s="10">
        <v>20850</v>
      </c>
    </row>
    <row r="17" spans="1:9" x14ac:dyDescent="0.35">
      <c r="A17" s="9" t="s">
        <v>12</v>
      </c>
      <c r="B17" s="10">
        <v>15590</v>
      </c>
      <c r="E17" s="9" t="s">
        <v>98</v>
      </c>
      <c r="F17" s="10">
        <v>17500</v>
      </c>
      <c r="H17" s="9" t="s">
        <v>81</v>
      </c>
      <c r="I17" s="10">
        <v>4400</v>
      </c>
    </row>
    <row r="18" spans="1:9" x14ac:dyDescent="0.35">
      <c r="A18" s="9" t="s">
        <v>18</v>
      </c>
      <c r="B18" s="10">
        <v>30470</v>
      </c>
      <c r="E18" s="9" t="s">
        <v>49</v>
      </c>
      <c r="F18" s="10">
        <v>18000</v>
      </c>
      <c r="H18" s="9" t="s">
        <v>85</v>
      </c>
      <c r="I18" s="10">
        <v>11000</v>
      </c>
    </row>
    <row r="19" spans="1:9" x14ac:dyDescent="0.35">
      <c r="A19" s="9" t="s">
        <v>24</v>
      </c>
      <c r="B19" s="10">
        <v>11710</v>
      </c>
      <c r="E19" s="9" t="s">
        <v>160</v>
      </c>
      <c r="F19" s="10">
        <v>30000</v>
      </c>
      <c r="H19" s="9" t="s">
        <v>58</v>
      </c>
      <c r="I19" s="10">
        <v>19700</v>
      </c>
    </row>
    <row r="20" spans="1:9" x14ac:dyDescent="0.35">
      <c r="A20" s="9" t="s">
        <v>176</v>
      </c>
      <c r="B20" s="10">
        <v>87690</v>
      </c>
      <c r="E20" s="9" t="s">
        <v>33</v>
      </c>
      <c r="F20" s="10">
        <v>22000</v>
      </c>
      <c r="H20" s="9" t="s">
        <v>51</v>
      </c>
      <c r="I20" s="10">
        <v>59980</v>
      </c>
    </row>
    <row r="21" spans="1:9" x14ac:dyDescent="0.35">
      <c r="E21" s="9" t="s">
        <v>37</v>
      </c>
      <c r="F21" s="10">
        <v>28000</v>
      </c>
      <c r="H21" s="9" t="s">
        <v>62</v>
      </c>
      <c r="I21" s="10">
        <v>6150</v>
      </c>
    </row>
    <row r="22" spans="1:9" x14ac:dyDescent="0.35">
      <c r="E22" s="9" t="s">
        <v>121</v>
      </c>
      <c r="F22" s="10">
        <v>45000</v>
      </c>
      <c r="H22" s="9" t="s">
        <v>113</v>
      </c>
      <c r="I22" s="10">
        <v>750</v>
      </c>
    </row>
    <row r="23" spans="1:9" x14ac:dyDescent="0.35">
      <c r="E23" s="9" t="s">
        <v>168</v>
      </c>
      <c r="F23" s="10">
        <v>26000</v>
      </c>
      <c r="H23" s="9" t="s">
        <v>55</v>
      </c>
      <c r="I23" s="10">
        <v>17700</v>
      </c>
    </row>
    <row r="24" spans="1:9" x14ac:dyDescent="0.35">
      <c r="E24" s="9" t="s">
        <v>141</v>
      </c>
      <c r="F24" s="10">
        <v>17000</v>
      </c>
      <c r="H24" s="9" t="s">
        <v>109</v>
      </c>
      <c r="I24" s="10">
        <v>9500</v>
      </c>
    </row>
    <row r="25" spans="1:9" x14ac:dyDescent="0.35">
      <c r="E25" s="9" t="s">
        <v>94</v>
      </c>
      <c r="F25" s="10">
        <v>21000</v>
      </c>
      <c r="H25" s="9" t="s">
        <v>100</v>
      </c>
      <c r="I25" s="10">
        <v>6000</v>
      </c>
    </row>
    <row r="26" spans="1:9" x14ac:dyDescent="0.35">
      <c r="E26" s="9" t="s">
        <v>176</v>
      </c>
      <c r="F26" s="10">
        <v>272500</v>
      </c>
      <c r="H26" s="9" t="s">
        <v>176</v>
      </c>
      <c r="I26" s="10">
        <v>467030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dashboard</vt:lpstr>
      <vt:lpstr>pivot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2026-07-27T16:25:37Z</dcterms:created>
  <dcterms:modified xsi:type="dcterms:W3CDTF">2026-08-02T11:33:14Z</dcterms:modified>
</cp:coreProperties>
</file>